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6680" windowHeight="12180"/>
  </bookViews>
  <sheets>
    <sheet name="股票指数" sheetId="1" r:id="rId1"/>
    <sheet name="开放式基金" sheetId="2" r:id="rId2"/>
    <sheet name="贵金属" sheetId="3" r:id="rId3"/>
  </sheets>
  <functionGroups/>
  <calcPr calcId="124519"/>
</workbook>
</file>

<file path=xl/calcChain.xml><?xml version="1.0" encoding="utf-8"?>
<calcChain xmlns="http://schemas.openxmlformats.org/spreadsheetml/2006/main">
  <c r="B10" i="3"/>
  <c r="B9"/>
</calcChain>
</file>

<file path=xl/sharedStrings.xml><?xml version="1.0" encoding="utf-8"?>
<sst xmlns="http://schemas.openxmlformats.org/spreadsheetml/2006/main" count="259" uniqueCount="247">
  <si>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</si>
  <si>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</si>
  <si>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</si>
  <si>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</si>
  <si>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</si>
  <si>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</si>
  <si>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</si>
  <si>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</si>
  <si>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</si>
  <si>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</si>
  <si>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</si>
  <si>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</si>
  <si>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</si>
  <si>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</si>
  <si>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</si>
  <si>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sh000832</t>
  </si>
  <si>
    <t>sh518880</t>
  </si>
  <si>
    <t>sh510660</t>
  </si>
  <si>
    <t>sh510610</t>
  </si>
  <si>
    <t>sh510170</t>
  </si>
  <si>
    <t>sh510230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</si>
  <si>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</si>
  <si>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</si>
  <si>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</si>
  <si>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</si>
  <si>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</si>
  <si>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</si>
  <si>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</si>
  <si>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</si>
  <si>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</si>
  <si>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</si>
  <si>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</si>
  <si>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</si>
  <si>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</si>
  <si>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</si>
  <si>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</si>
  <si>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</si>
  <si>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</si>
  <si>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</si>
  <si>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</si>
  <si>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</si>
  <si>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</si>
  <si>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</si>
  <si>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sz150100</t>
  </si>
  <si>
    <t>sz150051</t>
  </si>
  <si>
    <t>sz150028</t>
  </si>
  <si>
    <t>sz150022</t>
  </si>
  <si>
    <t>sz150059</t>
  </si>
  <si>
    <t>sz150012</t>
  </si>
  <si>
    <t>sz150117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</si>
  <si>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</si>
  <si>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</si>
  <si>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</si>
  <si>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</si>
  <si>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</si>
  <si>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</si>
  <si>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</si>
  <si>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</si>
  <si>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</si>
  <si>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</si>
  <si>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</si>
  <si>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</si>
  <si>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</si>
  <si>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</si>
  <si>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</si>
  <si>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</si>
  <si>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</si>
  <si>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</si>
  <si>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</si>
  <si>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</si>
  <si>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</si>
  <si>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</si>
  <si>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</si>
  <si>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</si>
  <si>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</si>
  <si>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</si>
  <si>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</si>
  <si>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</si>
  <si>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</si>
  <si>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</si>
  <si>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</si>
  <si>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</si>
  <si>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</si>
  <si>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sh511010</t>
  </si>
  <si>
    <t>sh511210</t>
  </si>
  <si>
    <t>sh518800</t>
  </si>
  <si>
    <t>of121099</t>
  </si>
  <si>
    <t>of121007</t>
  </si>
  <si>
    <t>sz150001</t>
  </si>
  <si>
    <t>sz163801</t>
  </si>
  <si>
    <t>of040002</t>
  </si>
  <si>
    <t>of202110</t>
  </si>
  <si>
    <t>of162703</t>
  </si>
  <si>
    <t>of070031</t>
  </si>
  <si>
    <t>of202213</t>
  </si>
  <si>
    <t>*代码的前两位字母随意，重要的是后面的6位基金代码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</si>
  <si>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</si>
  <si>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</si>
  <si>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</si>
  <si>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</si>
  <si>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</si>
  <si>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</si>
  <si>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</si>
  <si>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</si>
  <si>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</si>
  <si>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</si>
  <si>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</si>
  <si>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sh510620</t>
  </si>
  <si>
    <t>sz150144</t>
  </si>
  <si>
    <t>of163109</t>
  </si>
  <si>
    <t>华夏上证50ETF</t>
    <phoneticPr fontId="10" type="noConversion"/>
  </si>
  <si>
    <t>sh110020</t>
  </si>
  <si>
    <t>sh110017</t>
  </si>
  <si>
    <t>sz125089</t>
  </si>
  <si>
    <t>sh110015</t>
  </si>
  <si>
    <t>sh110007</t>
  </si>
  <si>
    <t>sh110011</t>
  </si>
  <si>
    <t>sh110019</t>
  </si>
  <si>
    <t>sh110018</t>
  </si>
  <si>
    <t>sh110023</t>
  </si>
  <si>
    <t>sz128003</t>
  </si>
  <si>
    <t>sz128001</t>
  </si>
  <si>
    <t>sz127001</t>
  </si>
  <si>
    <t>sz126729</t>
  </si>
  <si>
    <t>sh113002</t>
  </si>
  <si>
    <t>sz128002</t>
  </si>
  <si>
    <t>sz125887</t>
  </si>
  <si>
    <t>sh110016</t>
  </si>
  <si>
    <t>sh110022</t>
  </si>
  <si>
    <t>空白行不影响数据读取啦！</t>
    <phoneticPr fontId="10" type="noConversion"/>
  </si>
  <si>
    <t>国泰上证5年期国债ETF</t>
    <phoneticPr fontId="10" type="noConversion"/>
  </si>
  <si>
    <t>博时上证企债30ETF</t>
    <phoneticPr fontId="10" type="noConversion"/>
  </si>
  <si>
    <t>国泰黄金ETF</t>
    <phoneticPr fontId="10" type="noConversion"/>
  </si>
  <si>
    <t>华安黄金易(ETF)</t>
    <phoneticPr fontId="10" type="noConversion"/>
  </si>
  <si>
    <t>华夏医药ETF</t>
    <phoneticPr fontId="10" type="noConversion"/>
  </si>
  <si>
    <t>华夏能源ETF</t>
    <phoneticPr fontId="10" type="noConversion"/>
  </si>
  <si>
    <t>国联安商品ETF</t>
    <phoneticPr fontId="10" type="noConversion"/>
  </si>
  <si>
    <t>华夏消费ETF</t>
    <phoneticPr fontId="10" type="noConversion"/>
  </si>
  <si>
    <t>华夏材料ETF</t>
    <phoneticPr fontId="10" type="noConversion"/>
  </si>
  <si>
    <t>金融ETF</t>
    <phoneticPr fontId="10" type="noConversion"/>
  </si>
  <si>
    <t>国泰国证房地产行业指数分级B</t>
    <phoneticPr fontId="10" type="noConversion"/>
  </si>
  <si>
    <t>银华锐进</t>
    <phoneticPr fontId="10" type="noConversion"/>
  </si>
  <si>
    <t>银华中证转债指数增强分级B</t>
    <phoneticPr fontId="10" type="noConversion"/>
  </si>
  <si>
    <t>申万菱信深证成指分级</t>
    <phoneticPr fontId="10" type="noConversion"/>
  </si>
  <si>
    <t>申万菱信深证成指分级收益</t>
    <phoneticPr fontId="10" type="noConversion"/>
  </si>
  <si>
    <t>申万菱信深证成指分级进取</t>
    <phoneticPr fontId="10" type="noConversion"/>
  </si>
  <si>
    <t>瑞福分级</t>
    <phoneticPr fontId="10" type="noConversion"/>
  </si>
  <si>
    <t>瑞福优先</t>
    <phoneticPr fontId="10" type="noConversion"/>
  </si>
  <si>
    <t>瑞福进取</t>
    <phoneticPr fontId="10" type="noConversion"/>
  </si>
  <si>
    <t>中银中国混合(LOF)</t>
    <phoneticPr fontId="10" type="noConversion"/>
  </si>
  <si>
    <t>华安中国A股增强指数</t>
    <phoneticPr fontId="10" type="noConversion"/>
  </si>
  <si>
    <t>南方润元C</t>
    <phoneticPr fontId="10" type="noConversion"/>
  </si>
  <si>
    <t>广发小盘成长股票(LOF)</t>
    <phoneticPr fontId="10" type="noConversion"/>
  </si>
  <si>
    <t>嘉实全球房地产(QDII)</t>
    <phoneticPr fontId="10" type="noConversion"/>
  </si>
  <si>
    <t>南方安心保本混合</t>
    <phoneticPr fontId="10" type="noConversion"/>
  </si>
  <si>
    <t>sh510170</t>
    <phoneticPr fontId="10" type="noConversion"/>
  </si>
  <si>
    <t>能源行业</t>
    <phoneticPr fontId="10" type="noConversion"/>
  </si>
  <si>
    <t>商品ETF</t>
    <phoneticPr fontId="10" type="noConversion"/>
  </si>
  <si>
    <t>金融ETF</t>
    <phoneticPr fontId="10" type="noConversion"/>
  </si>
  <si>
    <t>50ETF</t>
    <phoneticPr fontId="10" type="noConversion"/>
  </si>
  <si>
    <t>消费行业</t>
    <phoneticPr fontId="10" type="noConversion"/>
  </si>
  <si>
    <t>中国平安</t>
    <phoneticPr fontId="10" type="noConversion"/>
  </si>
  <si>
    <t>华侨城Ａ</t>
    <phoneticPr fontId="10" type="noConversion"/>
  </si>
  <si>
    <t>宁波海运</t>
    <phoneticPr fontId="10" type="noConversion"/>
  </si>
  <si>
    <t>长江电力</t>
    <phoneticPr fontId="10" type="noConversion"/>
  </si>
  <si>
    <t>中国建筑</t>
    <phoneticPr fontId="10" type="noConversion"/>
  </si>
  <si>
    <t>贵州茅台</t>
    <phoneticPr fontId="10" type="noConversion"/>
  </si>
  <si>
    <t>银华锐进</t>
    <phoneticPr fontId="10" type="noConversion"/>
  </si>
  <si>
    <t>银华鑫瑞</t>
    <phoneticPr fontId="10" type="noConversion"/>
  </si>
  <si>
    <t>资源B</t>
    <phoneticPr fontId="10" type="noConversion"/>
  </si>
  <si>
    <t>双禧B</t>
    <phoneticPr fontId="10" type="noConversion"/>
  </si>
  <si>
    <t>信诚300B</t>
    <phoneticPr fontId="10" type="noConversion"/>
  </si>
  <si>
    <t>信诚500B</t>
    <phoneticPr fontId="10" type="noConversion"/>
  </si>
  <si>
    <t>申万进取</t>
    <phoneticPr fontId="10" type="noConversion"/>
  </si>
  <si>
    <t>房地产B</t>
    <phoneticPr fontId="10" type="noConversion"/>
  </si>
  <si>
    <t>银华鑫利</t>
    <phoneticPr fontId="10" type="noConversion"/>
  </si>
  <si>
    <t>中小板B</t>
    <phoneticPr fontId="10" type="noConversion"/>
  </si>
  <si>
    <t>医药B</t>
    <phoneticPr fontId="10" type="noConversion"/>
  </si>
  <si>
    <t>商品B</t>
    <phoneticPr fontId="10" type="noConversion"/>
  </si>
  <si>
    <t>建信50B</t>
    <phoneticPr fontId="10" type="noConversion"/>
  </si>
  <si>
    <t>银华稳进</t>
    <phoneticPr fontId="10" type="noConversion"/>
  </si>
  <si>
    <t>资源A</t>
    <phoneticPr fontId="10" type="noConversion"/>
  </si>
  <si>
    <t>信诚300A</t>
    <phoneticPr fontId="10" type="noConversion"/>
  </si>
  <si>
    <t>信诚500A</t>
    <phoneticPr fontId="10" type="noConversion"/>
  </si>
  <si>
    <t>申万收益</t>
    <phoneticPr fontId="10" type="noConversion"/>
  </si>
  <si>
    <t>银华金瑞</t>
    <phoneticPr fontId="10" type="noConversion"/>
  </si>
  <si>
    <t>双禧A</t>
    <phoneticPr fontId="10" type="noConversion"/>
  </si>
  <si>
    <t>房地产A</t>
    <phoneticPr fontId="10" type="noConversion"/>
  </si>
  <si>
    <t>医药A</t>
    <phoneticPr fontId="10" type="noConversion"/>
  </si>
  <si>
    <t>11华锐01</t>
    <phoneticPr fontId="10" type="noConversion"/>
  </si>
  <si>
    <t>12中富01</t>
    <phoneticPr fontId="10" type="noConversion"/>
  </si>
  <si>
    <t>12湘鄂债</t>
    <phoneticPr fontId="10" type="noConversion"/>
  </si>
  <si>
    <t>基金普惠</t>
    <phoneticPr fontId="10" type="noConversion"/>
  </si>
  <si>
    <t>基金同益</t>
    <phoneticPr fontId="10" type="noConversion"/>
  </si>
  <si>
    <t>基金景宏</t>
    <phoneticPr fontId="10" type="noConversion"/>
  </si>
  <si>
    <t>基金裕隆</t>
    <phoneticPr fontId="10" type="noConversion"/>
  </si>
  <si>
    <t>基金普丰</t>
    <phoneticPr fontId="10" type="noConversion"/>
  </si>
  <si>
    <t>基金天元</t>
    <phoneticPr fontId="10" type="noConversion"/>
  </si>
  <si>
    <t>基金同盛</t>
    <phoneticPr fontId="10" type="noConversion"/>
  </si>
  <si>
    <t>基金景福</t>
    <phoneticPr fontId="10" type="noConversion"/>
  </si>
  <si>
    <t>基金丰和</t>
    <phoneticPr fontId="10" type="noConversion"/>
  </si>
  <si>
    <t>基金久嘉</t>
    <phoneticPr fontId="10" type="noConversion"/>
  </si>
  <si>
    <t>基金鸿阳</t>
    <phoneticPr fontId="10" type="noConversion"/>
  </si>
  <si>
    <t>基金泰和</t>
    <phoneticPr fontId="10" type="noConversion"/>
  </si>
  <si>
    <t>基金汉盛</t>
    <phoneticPr fontId="10" type="noConversion"/>
  </si>
  <si>
    <t>基金安顺</t>
    <phoneticPr fontId="10" type="noConversion"/>
  </si>
  <si>
    <t>基金金鑫</t>
    <phoneticPr fontId="10" type="noConversion"/>
  </si>
  <si>
    <t>基金汉兴</t>
    <phoneticPr fontId="10" type="noConversion"/>
  </si>
  <si>
    <t>基金兴和</t>
    <phoneticPr fontId="10" type="noConversion"/>
  </si>
  <si>
    <t>基金通乾</t>
    <phoneticPr fontId="10" type="noConversion"/>
  </si>
  <si>
    <t>基金科瑞</t>
    <phoneticPr fontId="10" type="noConversion"/>
  </si>
  <si>
    <t>基金银丰</t>
    <phoneticPr fontId="10" type="noConversion"/>
  </si>
  <si>
    <t>GC001</t>
    <phoneticPr fontId="10" type="noConversion"/>
  </si>
  <si>
    <t>Ｒ-001</t>
    <phoneticPr fontId="10" type="noConversion"/>
  </si>
  <si>
    <t>南山转债</t>
    <phoneticPr fontId="10" type="noConversion"/>
  </si>
  <si>
    <t>中海转债</t>
    <phoneticPr fontId="10" type="noConversion"/>
  </si>
  <si>
    <t>深机转债</t>
    <phoneticPr fontId="10" type="noConversion"/>
  </si>
  <si>
    <t>石化转债</t>
    <phoneticPr fontId="10" type="noConversion"/>
  </si>
  <si>
    <t>博汇转债</t>
    <phoneticPr fontId="10" type="noConversion"/>
  </si>
  <si>
    <t>中行转债</t>
    <phoneticPr fontId="10" type="noConversion"/>
  </si>
  <si>
    <t>歌华转债</t>
    <phoneticPr fontId="10" type="noConversion"/>
  </si>
  <si>
    <t>恒丰转债</t>
    <phoneticPr fontId="10" type="noConversion"/>
  </si>
  <si>
    <t>国电转债</t>
    <phoneticPr fontId="10" type="noConversion"/>
  </si>
  <si>
    <t>民生转债</t>
    <phoneticPr fontId="10" type="noConversion"/>
  </si>
  <si>
    <t>华天转债</t>
    <phoneticPr fontId="10" type="noConversion"/>
  </si>
  <si>
    <t>泰尔转债</t>
    <phoneticPr fontId="10" type="noConversion"/>
  </si>
  <si>
    <t>海运转债</t>
    <phoneticPr fontId="10" type="noConversion"/>
  </si>
  <si>
    <t>海直转债</t>
    <phoneticPr fontId="10" type="noConversion"/>
  </si>
  <si>
    <t>燕京转债</t>
    <phoneticPr fontId="10" type="noConversion"/>
  </si>
  <si>
    <t>工行转债</t>
    <phoneticPr fontId="10" type="noConversion"/>
  </si>
  <si>
    <t>东华转债</t>
    <phoneticPr fontId="10" type="noConversion"/>
  </si>
  <si>
    <t>停牌</t>
    <phoneticPr fontId="10" type="noConversion"/>
  </si>
  <si>
    <t>中鼎转债</t>
    <phoneticPr fontId="10" type="noConversion"/>
  </si>
  <si>
    <t>川投转债</t>
    <phoneticPr fontId="10" type="noConversion"/>
  </si>
  <si>
    <t>重工转债</t>
    <phoneticPr fontId="10" type="noConversion"/>
  </si>
  <si>
    <t>同仁转债</t>
    <phoneticPr fontId="10" type="noConversion"/>
  </si>
  <si>
    <t>错误的代码，略过</t>
    <phoneticPr fontId="10" type="noConversion"/>
  </si>
  <si>
    <t>sh999999</t>
    <phoneticPr fontId="10" type="noConversion"/>
  </si>
  <si>
    <t>不改动</t>
    <phoneticPr fontId="10" type="noConversion"/>
  </si>
  <si>
    <t>上证指数</t>
    <phoneticPr fontId="10" type="noConversion"/>
  </si>
  <si>
    <t>深证成指</t>
    <phoneticPr fontId="10" type="noConversion"/>
  </si>
  <si>
    <t>沪深300</t>
    <phoneticPr fontId="10" type="noConversion"/>
  </si>
  <si>
    <t>深证100R</t>
    <phoneticPr fontId="10" type="noConversion"/>
  </si>
  <si>
    <t>中小板指</t>
    <phoneticPr fontId="10" type="noConversion"/>
  </si>
  <si>
    <t>创业板指</t>
    <phoneticPr fontId="10" type="noConversion"/>
  </si>
  <si>
    <t>中证转债</t>
    <phoneticPr fontId="10" type="noConversion"/>
  </si>
  <si>
    <t>停牌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</si>
</sst>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176" formatCode="0.0000000000_ "/>
    <numFmt numFmtId="177" formatCode="0.000_);[Red]\(0.000\)"/>
    <numFmt numFmtId="178" formatCode="0.00_);[Red]\(0.00\)"/>
    <numFmt numFmtId="179" formatCode="0_);[Red]\(0\)"/>
    <numFmt numFmtId="180" formatCode="0.000"/>
    <numFmt numFmtId="181" formatCode="[$-F400]h:mm:ss\ AM/PM"/>
  </numFmts>
  <fonts count="15"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8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</borders>
  <cellStyleXfs count="7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5" applyNumberFormat="1" applyFont="1" applyBorder="1" applyAlignment="1">
      <alignment horizontal="center" vertical="center" wrapText="1"/>
    </xf>
    <xf numFmtId="0" fontId="4" fillId="0" borderId="2" xfId="5" applyNumberFormat="1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2" fontId="3" fillId="0" borderId="6" xfId="0" applyNumberFormat="1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4" fillId="0" borderId="5" xfId="0" applyFont="1" applyBorder="1">
      <alignment vertical="center"/>
    </xf>
    <xf numFmtId="43" fontId="3" fillId="0" borderId="6" xfId="1" applyFont="1" applyBorder="1">
      <alignment vertical="center"/>
    </xf>
    <xf numFmtId="0" fontId="4" fillId="0" borderId="7" xfId="0" applyFont="1" applyBorder="1">
      <alignment vertical="center"/>
    </xf>
    <xf numFmtId="0" fontId="5" fillId="0" borderId="0" xfId="0" applyFont="1">
      <alignment vertical="center"/>
    </xf>
    <xf numFmtId="0" fontId="4" fillId="0" borderId="9" xfId="5" applyNumberFormat="1" applyFont="1" applyBorder="1" applyAlignment="1">
      <alignment horizontal="center" vertical="center" wrapText="1"/>
    </xf>
    <xf numFmtId="0" fontId="4" fillId="0" borderId="9" xfId="5" applyNumberFormat="1" applyFont="1" applyBorder="1" applyAlignment="1">
      <alignment horizontal="center" vertical="center"/>
    </xf>
    <xf numFmtId="0" fontId="6" fillId="0" borderId="9" xfId="5" applyNumberFormat="1" applyFont="1" applyBorder="1" applyAlignment="1">
      <alignment horizontal="center" vertical="center" wrapText="1"/>
    </xf>
    <xf numFmtId="0" fontId="3" fillId="0" borderId="0" xfId="0" applyFont="1" applyBorder="1">
      <alignment vertical="center"/>
    </xf>
    <xf numFmtId="14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7" fillId="0" borderId="0" xfId="0" applyFont="1">
      <alignment vertical="center"/>
    </xf>
    <xf numFmtId="177" fontId="3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7" fontId="4" fillId="0" borderId="9" xfId="5" applyNumberFormat="1" applyFont="1" applyBorder="1" applyAlignment="1">
      <alignment horizontal="center" vertical="center"/>
    </xf>
    <xf numFmtId="179" fontId="6" fillId="0" borderId="9" xfId="5" applyNumberFormat="1" applyFont="1" applyBorder="1" applyAlignment="1">
      <alignment horizontal="center" vertical="center" wrapText="1"/>
    </xf>
    <xf numFmtId="0" fontId="3" fillId="0" borderId="10" xfId="5" applyNumberFormat="1" applyFont="1" applyFill="1" applyBorder="1">
      <alignment vertical="center"/>
    </xf>
    <xf numFmtId="0" fontId="3" fillId="0" borderId="10" xfId="0" applyFont="1" applyBorder="1">
      <alignment vertical="center"/>
    </xf>
    <xf numFmtId="0" fontId="7" fillId="0" borderId="10" xfId="0" applyFont="1" applyBorder="1">
      <alignment vertical="center"/>
    </xf>
    <xf numFmtId="10" fontId="3" fillId="0" borderId="10" xfId="0" applyNumberFormat="1" applyFont="1" applyBorder="1">
      <alignment vertical="center"/>
    </xf>
    <xf numFmtId="0" fontId="3" fillId="0" borderId="0" xfId="5" applyNumberFormat="1" applyFont="1" applyFill="1" applyBorder="1">
      <alignment vertical="center"/>
    </xf>
    <xf numFmtId="0" fontId="7" fillId="0" borderId="0" xfId="0" applyFont="1" applyBorder="1">
      <alignment vertical="center"/>
    </xf>
    <xf numFmtId="0" fontId="3" fillId="0" borderId="11" xfId="5" applyNumberFormat="1" applyFont="1" applyFill="1" applyBorder="1">
      <alignment vertical="center"/>
    </xf>
    <xf numFmtId="0" fontId="3" fillId="0" borderId="12" xfId="0" applyFont="1" applyBorder="1">
      <alignment vertical="center"/>
    </xf>
    <xf numFmtId="180" fontId="7" fillId="0" borderId="12" xfId="0" applyNumberFormat="1" applyFont="1" applyBorder="1">
      <alignment vertical="center"/>
    </xf>
    <xf numFmtId="10" fontId="3" fillId="0" borderId="12" xfId="0" applyNumberFormat="1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2" xfId="5" applyNumberFormat="1" applyFont="1" applyFill="1" applyBorder="1">
      <alignment vertical="center"/>
    </xf>
    <xf numFmtId="0" fontId="3" fillId="0" borderId="15" xfId="0" applyFont="1" applyBorder="1">
      <alignment vertical="center"/>
    </xf>
    <xf numFmtId="180" fontId="7" fillId="0" borderId="15" xfId="0" applyNumberFormat="1" applyFont="1" applyBorder="1">
      <alignment vertical="center"/>
    </xf>
    <xf numFmtId="10" fontId="3" fillId="0" borderId="15" xfId="0" applyNumberFormat="1" applyFont="1" applyBorder="1">
      <alignment vertical="center"/>
    </xf>
    <xf numFmtId="180" fontId="7" fillId="0" borderId="11" xfId="0" applyNumberFormat="1" applyFont="1" applyBorder="1">
      <alignment vertical="center"/>
    </xf>
    <xf numFmtId="180" fontId="7" fillId="0" borderId="0" xfId="0" applyNumberFormat="1" applyFont="1" applyBorder="1">
      <alignment vertical="center"/>
    </xf>
    <xf numFmtId="10" fontId="3" fillId="0" borderId="0" xfId="0" applyNumberFormat="1" applyFont="1" applyBorder="1">
      <alignment vertical="center"/>
    </xf>
    <xf numFmtId="181" fontId="6" fillId="0" borderId="9" xfId="5" applyNumberFormat="1" applyFont="1" applyBorder="1" applyAlignment="1">
      <alignment horizontal="center" vertical="center" wrapText="1"/>
    </xf>
    <xf numFmtId="21" fontId="3" fillId="0" borderId="10" xfId="0" applyNumberFormat="1" applyFont="1" applyBorder="1">
      <alignment vertical="center"/>
    </xf>
    <xf numFmtId="21" fontId="3" fillId="0" borderId="12" xfId="0" applyNumberFormat="1" applyFont="1" applyBorder="1">
      <alignment vertical="center"/>
    </xf>
    <xf numFmtId="0" fontId="3" fillId="0" borderId="0" xfId="0" applyFont="1" applyBorder="1">
      <alignment vertical="center"/>
    </xf>
    <xf numFmtId="21" fontId="3" fillId="0" borderId="15" xfId="0" applyNumberFormat="1" applyFont="1" applyBorder="1">
      <alignment vertical="center"/>
    </xf>
    <xf numFmtId="21" fontId="3" fillId="0" borderId="0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21" fontId="3" fillId="0" borderId="0" xfId="0" applyNumberFormat="1" applyFont="1">
      <alignment vertical="center"/>
    </xf>
    <xf numFmtId="0" fontId="3" fillId="0" borderId="11" xfId="0" applyFont="1" applyBorder="1">
      <alignment vertical="center"/>
    </xf>
    <xf numFmtId="0" fontId="7" fillId="0" borderId="11" xfId="0" applyFont="1" applyBorder="1">
      <alignment vertical="center"/>
    </xf>
    <xf numFmtId="10" fontId="3" fillId="0" borderId="11" xfId="0" applyNumberFormat="1" applyFont="1" applyBorder="1">
      <alignment vertical="center"/>
    </xf>
    <xf numFmtId="21" fontId="3" fillId="0" borderId="11" xfId="0" applyNumberFormat="1" applyFont="1" applyBorder="1">
      <alignment vertical="center"/>
    </xf>
    <xf numFmtId="10" fontId="11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0" fontId="13" fillId="0" borderId="0" xfId="0" applyFont="1" applyAlignment="1">
      <alignment vertical="center" wrapText="1"/>
    </xf>
    <xf numFmtId="177" fontId="12" fillId="0" borderId="10" xfId="0" applyNumberFormat="1" applyFont="1" applyBorder="1">
      <alignment vertical="center"/>
    </xf>
    <xf numFmtId="177" fontId="11" fillId="0" borderId="10" xfId="0" applyNumberFormat="1" applyFont="1" applyBorder="1">
      <alignment vertical="center"/>
    </xf>
    <xf numFmtId="10" fontId="11" fillId="0" borderId="0" xfId="0" applyNumberFormat="1" applyFont="1" applyBorder="1">
      <alignment vertical="center"/>
    </xf>
    <xf numFmtId="177" fontId="12" fillId="0" borderId="0" xfId="0" applyNumberFormat="1" applyFont="1" applyBorder="1">
      <alignment vertical="center"/>
    </xf>
    <xf numFmtId="177" fontId="11" fillId="0" borderId="0" xfId="0" applyNumberFormat="1" applyFont="1" applyBorder="1">
      <alignment vertical="center"/>
    </xf>
    <xf numFmtId="10" fontId="12" fillId="0" borderId="0" xfId="0" applyNumberFormat="1" applyFont="1" applyBorder="1">
      <alignment vertical="center"/>
    </xf>
    <xf numFmtId="10" fontId="12" fillId="0" borderId="11" xfId="0" applyNumberFormat="1" applyFont="1" applyBorder="1">
      <alignment vertical="center"/>
    </xf>
    <xf numFmtId="177" fontId="12" fillId="0" borderId="11" xfId="0" applyNumberFormat="1" applyFont="1" applyBorder="1">
      <alignment vertical="center"/>
    </xf>
    <xf numFmtId="177" fontId="11" fillId="0" borderId="11" xfId="0" applyNumberFormat="1" applyFont="1" applyBorder="1">
      <alignment vertical="center"/>
    </xf>
    <xf numFmtId="10" fontId="11" fillId="0" borderId="12" xfId="0" applyNumberFormat="1" applyFont="1" applyBorder="1">
      <alignment vertical="center"/>
    </xf>
    <xf numFmtId="177" fontId="11" fillId="0" borderId="12" xfId="0" applyNumberFormat="1" applyFont="1" applyBorder="1">
      <alignment vertical="center"/>
    </xf>
    <xf numFmtId="10" fontId="11" fillId="0" borderId="11" xfId="0" applyNumberFormat="1" applyFont="1" applyBorder="1">
      <alignment vertical="center"/>
    </xf>
    <xf numFmtId="178" fontId="12" fillId="0" borderId="12" xfId="0" applyNumberFormat="1" applyFont="1" applyBorder="1">
      <alignment vertical="center"/>
    </xf>
    <xf numFmtId="178" fontId="11" fillId="0" borderId="12" xfId="0" applyNumberFormat="1" applyFont="1" applyBorder="1">
      <alignment vertical="center"/>
    </xf>
    <xf numFmtId="178" fontId="12" fillId="0" borderId="0" xfId="0" applyNumberFormat="1" applyFont="1" applyBorder="1">
      <alignment vertical="center"/>
    </xf>
    <xf numFmtId="178" fontId="11" fillId="0" borderId="0" xfId="0" applyNumberFormat="1" applyFont="1" applyBorder="1">
      <alignment vertical="center"/>
    </xf>
    <xf numFmtId="177" fontId="12" fillId="0" borderId="15" xfId="0" applyNumberFormat="1" applyFont="1" applyBorder="1">
      <alignment vertical="center"/>
    </xf>
    <xf numFmtId="177" fontId="11" fillId="0" borderId="15" xfId="0" applyNumberFormat="1" applyFont="1" applyBorder="1">
      <alignment vertical="center"/>
    </xf>
    <xf numFmtId="10" fontId="12" fillId="0" borderId="12" xfId="0" applyNumberFormat="1" applyFont="1" applyBorder="1">
      <alignment vertical="center"/>
    </xf>
    <xf numFmtId="177" fontId="12" fillId="0" borderId="12" xfId="0" applyNumberFormat="1" applyFont="1" applyBorder="1">
      <alignment vertical="center"/>
    </xf>
    <xf numFmtId="10" fontId="11" fillId="0" borderId="15" xfId="0" applyNumberFormat="1" applyFont="1" applyBorder="1">
      <alignment vertical="center"/>
    </xf>
    <xf numFmtId="10" fontId="13" fillId="0" borderId="0" xfId="0" applyNumberFormat="1" applyFont="1" applyBorder="1">
      <alignment vertical="center"/>
    </xf>
    <xf numFmtId="10" fontId="13" fillId="0" borderId="12" xfId="0" applyNumberFormat="1" applyFont="1" applyBorder="1">
      <alignment vertical="center"/>
    </xf>
    <xf numFmtId="177" fontId="13" fillId="0" borderId="0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77" fontId="1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7" fontId="11" fillId="0" borderId="0" xfId="0" applyNumberFormat="1" applyFont="1">
      <alignment vertical="center"/>
    </xf>
    <xf numFmtId="177" fontId="13" fillId="0" borderId="0" xfId="0" applyNumberFormat="1" applyFont="1">
      <alignment vertical="center"/>
    </xf>
    <xf numFmtId="178" fontId="11" fillId="0" borderId="11" xfId="0" applyNumberFormat="1" applyFont="1" applyBorder="1">
      <alignment vertical="center"/>
    </xf>
    <xf numFmtId="178" fontId="12" fillId="0" borderId="0" xfId="0" applyNumberFormat="1" applyFont="1">
      <alignment vertical="center"/>
    </xf>
    <xf numFmtId="10" fontId="13" fillId="0" borderId="11" xfId="0" applyNumberFormat="1" applyFont="1" applyBorder="1">
      <alignment vertical="center"/>
    </xf>
    <xf numFmtId="0" fontId="3" fillId="0" borderId="15" xfId="5" applyNumberFormat="1" applyFont="1" applyFill="1" applyBorder="1">
      <alignment vertical="center"/>
    </xf>
    <xf numFmtId="0" fontId="7" fillId="0" borderId="15" xfId="0" applyFont="1" applyBorder="1">
      <alignment vertical="center"/>
    </xf>
    <xf numFmtId="10" fontId="12" fillId="0" borderId="15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0" fontId="14" fillId="0" borderId="15" xfId="5" applyNumberFormat="1" applyFont="1" applyFill="1" applyBorder="1">
      <alignment vertical="center"/>
    </xf>
    <xf numFmtId="10" fontId="11" fillId="0" borderId="10" xfId="0" applyNumberFormat="1" applyFont="1" applyBorder="1">
      <alignment vertical="center"/>
    </xf>
  </cellXfs>
  <cellStyles count="7">
    <cellStyle name="常规" xfId="0" builtinId="0"/>
    <cellStyle name="常规 2" xfId="3"/>
    <cellStyle name="常规 2 2" xfId="4"/>
    <cellStyle name="常规 3" xfId="2"/>
    <cellStyle name="常规 4" xfId="5"/>
    <cellStyle name="常规 5" xfId="6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0"/>
  </sheetPr>
  <dimension ref="A1:L95"/>
  <sheetViews>
    <sheetView tabSelected="1" topLeftCell="A49" workbookViewId="0">
      <selection activeCell="L11" sqref="L11"/>
    </sheetView>
  </sheetViews>
  <sheetFormatPr defaultColWidth="9" defaultRowHeight="14.25"/>
  <cols>
    <col min="1" max="1" width="8.375" style="1" customWidth="1"/>
    <col min="2" max="2" width="8.125" style="1" customWidth="1"/>
    <col min="3" max="3" width="8.5" style="21" customWidth="1"/>
    <col min="4" max="5" width="7.625" style="1" bestFit="1" customWidth="1"/>
    <col min="6" max="6" width="8.5" style="22" customWidth="1"/>
    <col min="7" max="7" width="8.5" style="23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84" width="9" style="1"/>
  </cols>
  <sheetData>
    <row r="1" spans="1:12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4" t="s">
        <v>5</v>
      </c>
      <c r="G1" s="16" t="s">
        <v>6</v>
      </c>
      <c r="H1" s="25" t="s">
        <v>7</v>
      </c>
      <c r="I1" s="45" t="s">
        <v>8</v>
      </c>
    </row>
    <row r="2" spans="1:12">
      <c r="A2" s="26" t="s">
        <v>9</v>
      </c>
      <c r="B2" s="27" t="s">
        <v>239</v>
      </c>
      <c r="C2" s="28">
        <v>3006.6772000000001</v>
      </c>
      <c r="D2" s="99">
        <v>-4.7999999999999996E-3</v>
      </c>
      <c r="E2" s="29">
        <v>8.6999999999999994E-3</v>
      </c>
      <c r="F2" s="61">
        <v>3030.5569999999998</v>
      </c>
      <c r="G2" s="62">
        <v>3004.2152000000001</v>
      </c>
      <c r="H2" s="27">
        <v>25991135</v>
      </c>
      <c r="I2" s="46">
        <v>0.62326388888888895</v>
      </c>
    </row>
    <row r="3" spans="1:12">
      <c r="A3" s="30" t="s">
        <v>10</v>
      </c>
      <c r="B3" s="48" t="s">
        <v>240</v>
      </c>
      <c r="C3" s="31">
        <v>9843.8179999999993</v>
      </c>
      <c r="D3" s="63">
        <v>-1.2200000000000001E-2</v>
      </c>
      <c r="E3" s="44">
        <v>1.6500000000000001E-2</v>
      </c>
      <c r="F3" s="64">
        <v>10000.252</v>
      </c>
      <c r="G3" s="65">
        <v>9835.973</v>
      </c>
      <c r="H3" s="48">
        <v>37466235</v>
      </c>
      <c r="I3" s="50">
        <v>0.6229513888888889</v>
      </c>
    </row>
    <row r="4" spans="1:12">
      <c r="A4" s="30" t="s">
        <v>11</v>
      </c>
      <c r="B4" s="48" t="s">
        <v>241</v>
      </c>
      <c r="C4" s="31">
        <v>3925.8393000000001</v>
      </c>
      <c r="D4" s="63">
        <v>-8.3999999999999995E-3</v>
      </c>
      <c r="E4" s="44">
        <v>1.2200000000000001E-2</v>
      </c>
      <c r="F4" s="64">
        <v>3971.2237</v>
      </c>
      <c r="G4" s="65">
        <v>3922.9531000000002</v>
      </c>
      <c r="H4" s="48">
        <v>18800591</v>
      </c>
      <c r="I4" s="50">
        <v>0.62326388888888895</v>
      </c>
    </row>
    <row r="5" spans="1:12">
      <c r="A5" s="30" t="s">
        <v>12</v>
      </c>
      <c r="B5" s="48" t="s">
        <v>242</v>
      </c>
      <c r="C5" s="31">
        <v>5497.1930000000002</v>
      </c>
      <c r="D5" s="63">
        <v>-1.6400000000000001E-2</v>
      </c>
      <c r="E5" s="44">
        <v>1.9099999999999999E-2</v>
      </c>
      <c r="F5" s="64">
        <v>5600.2969999999996</v>
      </c>
      <c r="G5" s="65">
        <v>5493.7790000000005</v>
      </c>
      <c r="H5" s="48">
        <v>8414206</v>
      </c>
      <c r="I5" s="50">
        <v>0.6229513888888889</v>
      </c>
    </row>
    <row r="6" spans="1:12">
      <c r="A6" s="30" t="s">
        <v>13</v>
      </c>
      <c r="B6" s="48" t="s">
        <v>243</v>
      </c>
      <c r="C6" s="31">
        <v>6193.7629999999999</v>
      </c>
      <c r="D6" s="63">
        <v>-1.2800000000000001E-2</v>
      </c>
      <c r="E6" s="44">
        <v>1.7999999999999999E-2</v>
      </c>
      <c r="F6" s="64">
        <v>6300.9859999999999</v>
      </c>
      <c r="G6" s="65">
        <v>6188.3159999999998</v>
      </c>
      <c r="H6" s="48">
        <v>4732736</v>
      </c>
      <c r="I6" s="50">
        <v>0.62291666666666667</v>
      </c>
      <c r="J6" s="48"/>
    </row>
    <row r="7" spans="1:12">
      <c r="A7" s="30" t="s">
        <v>14</v>
      </c>
      <c r="B7" s="48" t="s">
        <v>244</v>
      </c>
      <c r="C7" s="31">
        <v>1702.25</v>
      </c>
      <c r="D7" s="63">
        <v>-1.34E-2</v>
      </c>
      <c r="E7" s="44">
        <v>2.0400000000000001E-2</v>
      </c>
      <c r="F7" s="64">
        <v>1736.1780000000001</v>
      </c>
      <c r="G7" s="65">
        <v>1700.9079999999999</v>
      </c>
      <c r="H7" s="48">
        <v>12565670</v>
      </c>
      <c r="I7" s="50">
        <v>0.6229513888888889</v>
      </c>
      <c r="J7" s="48"/>
    </row>
    <row r="8" spans="1:12">
      <c r="A8" s="32" t="s">
        <v>15</v>
      </c>
      <c r="B8" s="53" t="s">
        <v>245</v>
      </c>
      <c r="C8" s="54">
        <v>0</v>
      </c>
      <c r="D8" s="93" t="s">
        <v>246</v>
      </c>
      <c r="E8" s="55">
        <v>5.1000000000000004E-3</v>
      </c>
      <c r="F8" s="68">
        <v>297.553</v>
      </c>
      <c r="G8" s="69">
        <v>296.036</v>
      </c>
      <c r="H8" s="53">
        <v>256101</v>
      </c>
      <c r="I8" s="56">
        <v>0.62722222222222224</v>
      </c>
      <c r="J8" s="48"/>
    </row>
    <row r="9" spans="1:12" ht="24.75">
      <c r="A9" s="98" t="s">
        <v>129</v>
      </c>
      <c r="B9" s="39"/>
      <c r="C9" s="95"/>
      <c r="D9" s="96"/>
      <c r="E9" s="41"/>
      <c r="F9" s="77"/>
      <c r="G9" s="78"/>
      <c r="H9" s="39"/>
      <c r="I9" s="49"/>
      <c r="J9" s="39"/>
    </row>
    <row r="10" spans="1:12">
      <c r="A10" s="94"/>
      <c r="B10" s="39"/>
      <c r="C10" s="95"/>
      <c r="D10" s="96"/>
      <c r="E10" s="41"/>
      <c r="F10" s="77"/>
      <c r="G10" s="78"/>
      <c r="H10" s="39"/>
      <c r="I10" s="49"/>
      <c r="J10" s="39"/>
    </row>
    <row r="11" spans="1:12" ht="24.75">
      <c r="A11" s="98" t="s">
        <v>236</v>
      </c>
      <c r="B11" s="33"/>
      <c r="C11" s="34"/>
      <c r="D11" s="70"/>
      <c r="E11" s="35"/>
      <c r="F11" s="71"/>
      <c r="G11" s="71"/>
      <c r="H11" s="33"/>
      <c r="I11" s="47"/>
      <c r="L11" s="48"/>
    </row>
    <row r="12" spans="1:12">
      <c r="A12" s="36" t="s">
        <v>237</v>
      </c>
      <c r="B12" s="48"/>
      <c r="C12" s="43"/>
      <c r="D12" s="66"/>
      <c r="E12" s="44"/>
      <c r="F12" s="64"/>
      <c r="G12" s="65"/>
      <c r="H12" s="48"/>
      <c r="I12" s="50" t="s">
        <v>238</v>
      </c>
      <c r="L12" s="48"/>
    </row>
    <row r="13" spans="1:12">
      <c r="A13" s="36" t="s">
        <v>18</v>
      </c>
      <c r="B13" s="48" t="s">
        <v>156</v>
      </c>
      <c r="C13" s="43">
        <v>0.84599999999999997</v>
      </c>
      <c r="D13" s="63">
        <v>-2.3999999999999998E-3</v>
      </c>
      <c r="E13" s="44">
        <v>1.5299999999999999E-2</v>
      </c>
      <c r="F13" s="64">
        <v>0.85299999999999998</v>
      </c>
      <c r="G13" s="65">
        <v>0.84</v>
      </c>
      <c r="H13" s="48">
        <v>108</v>
      </c>
      <c r="I13" s="50">
        <v>0.62722222222222224</v>
      </c>
      <c r="L13" s="48"/>
    </row>
    <row r="14" spans="1:12">
      <c r="A14" s="36" t="s">
        <v>155</v>
      </c>
      <c r="B14" s="48" t="s">
        <v>157</v>
      </c>
      <c r="C14" s="43">
        <v>1.633</v>
      </c>
      <c r="D14" s="66">
        <v>5.9999999999999995E-4</v>
      </c>
      <c r="E14" s="44">
        <v>1.0999999999999999E-2</v>
      </c>
      <c r="F14" s="64">
        <v>1.635</v>
      </c>
      <c r="G14" s="65">
        <v>1.617</v>
      </c>
      <c r="H14" s="48">
        <v>609</v>
      </c>
      <c r="I14" s="50">
        <v>0.62722222222222224</v>
      </c>
      <c r="L14" s="48"/>
    </row>
    <row r="15" spans="1:12">
      <c r="A15" s="36" t="s">
        <v>20</v>
      </c>
      <c r="B15" s="48" t="s">
        <v>158</v>
      </c>
      <c r="C15" s="43">
        <v>3.4350000000000001</v>
      </c>
      <c r="D15" s="66">
        <v>1.5E-3</v>
      </c>
      <c r="E15" s="44">
        <v>2.3300000000000001E-2</v>
      </c>
      <c r="F15" s="64">
        <v>3.4670000000000001</v>
      </c>
      <c r="G15" s="65">
        <v>3.387</v>
      </c>
      <c r="H15" s="48">
        <v>3010</v>
      </c>
      <c r="I15" s="50">
        <v>0.62722222222222224</v>
      </c>
      <c r="L15" s="48"/>
    </row>
    <row r="16" spans="1:12">
      <c r="A16" s="36" t="s">
        <v>21</v>
      </c>
      <c r="B16" s="48" t="s">
        <v>159</v>
      </c>
      <c r="C16" s="43">
        <v>1.7589999999999999</v>
      </c>
      <c r="D16" s="66">
        <v>1.1000000000000001E-3</v>
      </c>
      <c r="E16" s="44">
        <v>1.6500000000000001E-2</v>
      </c>
      <c r="F16" s="64">
        <v>1.7649999999999999</v>
      </c>
      <c r="G16" s="65">
        <v>1.736</v>
      </c>
      <c r="H16" s="48">
        <v>60244</v>
      </c>
      <c r="I16" s="50">
        <v>0.62722222222222224</v>
      </c>
      <c r="L16" s="48"/>
    </row>
    <row r="17" spans="1:12">
      <c r="A17" s="37" t="s">
        <v>22</v>
      </c>
      <c r="B17" s="53" t="s">
        <v>160</v>
      </c>
      <c r="C17" s="42">
        <v>1.0880000000000001</v>
      </c>
      <c r="D17" s="72">
        <v>-2.7000000000000001E-3</v>
      </c>
      <c r="E17" s="55">
        <v>1.5599999999999999E-2</v>
      </c>
      <c r="F17" s="68">
        <v>1.0940000000000001</v>
      </c>
      <c r="G17" s="69">
        <v>1.077</v>
      </c>
      <c r="H17" s="53">
        <v>1997</v>
      </c>
      <c r="I17" s="56">
        <v>0.62722222222222224</v>
      </c>
      <c r="L17" s="48"/>
    </row>
    <row r="18" spans="1:12">
      <c r="A18" s="39"/>
      <c r="B18" s="39"/>
      <c r="C18" s="40"/>
      <c r="D18" s="81"/>
      <c r="E18" s="41"/>
      <c r="F18" s="77"/>
      <c r="G18" s="78"/>
      <c r="H18" s="39"/>
      <c r="I18" s="49"/>
      <c r="L18" s="39"/>
    </row>
    <row r="19" spans="1:12">
      <c r="A19" s="38" t="s">
        <v>23</v>
      </c>
      <c r="B19" s="33" t="s">
        <v>161</v>
      </c>
      <c r="C19" s="34">
        <v>37.69</v>
      </c>
      <c r="D19" s="70">
        <v>-2.3999999999999998E-3</v>
      </c>
      <c r="E19" s="35">
        <v>1.54E-2</v>
      </c>
      <c r="F19" s="73">
        <v>38.17</v>
      </c>
      <c r="G19" s="74">
        <v>37.590000000000003</v>
      </c>
      <c r="H19" s="33">
        <v>105477</v>
      </c>
      <c r="I19" s="47">
        <v>0.62722222222222224</v>
      </c>
      <c r="L19" s="48"/>
    </row>
    <row r="20" spans="1:12">
      <c r="A20" s="30" t="s">
        <v>24</v>
      </c>
      <c r="B20" s="48" t="s">
        <v>162</v>
      </c>
      <c r="C20" s="43">
        <v>6.07</v>
      </c>
      <c r="D20" s="66">
        <v>1.5100000000000001E-2</v>
      </c>
      <c r="E20" s="44">
        <v>2.1700000000000001E-2</v>
      </c>
      <c r="F20" s="75">
        <v>6.09</v>
      </c>
      <c r="G20" s="76">
        <v>5.96</v>
      </c>
      <c r="H20" s="48">
        <v>15244</v>
      </c>
      <c r="I20" s="50">
        <v>0.62907407407407401</v>
      </c>
      <c r="L20" s="48"/>
    </row>
    <row r="21" spans="1:12">
      <c r="A21" s="30" t="s">
        <v>25</v>
      </c>
      <c r="B21" s="48" t="s">
        <v>163</v>
      </c>
      <c r="C21" s="43">
        <v>3.59</v>
      </c>
      <c r="D21" s="66">
        <v>2.8E-3</v>
      </c>
      <c r="E21" s="44">
        <v>3.6299999999999999E-2</v>
      </c>
      <c r="F21" s="75">
        <v>3.66</v>
      </c>
      <c r="G21" s="76">
        <v>3.53</v>
      </c>
      <c r="H21" s="48">
        <v>1671</v>
      </c>
      <c r="I21" s="50">
        <v>0.62722222222222224</v>
      </c>
      <c r="L21" s="48"/>
    </row>
    <row r="22" spans="1:12">
      <c r="A22" s="30" t="s">
        <v>26</v>
      </c>
      <c r="B22" s="48" t="s">
        <v>164</v>
      </c>
      <c r="C22" s="43">
        <v>6.88</v>
      </c>
      <c r="D22" s="66">
        <v>5.7999999999999996E-3</v>
      </c>
      <c r="E22" s="44">
        <v>1.46E-2</v>
      </c>
      <c r="F22" s="75">
        <v>6.93</v>
      </c>
      <c r="G22" s="76">
        <v>6.83</v>
      </c>
      <c r="H22" s="48">
        <v>11531</v>
      </c>
      <c r="I22" s="50">
        <v>0.62722222222222224</v>
      </c>
      <c r="L22" s="48"/>
    </row>
    <row r="23" spans="1:12">
      <c r="A23" s="39" t="s">
        <v>27</v>
      </c>
      <c r="B23" s="39" t="s">
        <v>165</v>
      </c>
      <c r="C23" s="40">
        <v>3.28</v>
      </c>
      <c r="D23" s="81">
        <v>-3.0000000000000001E-3</v>
      </c>
      <c r="E23" s="41">
        <v>1.8200000000000001E-2</v>
      </c>
      <c r="F23" s="77">
        <v>3.32</v>
      </c>
      <c r="G23" s="78">
        <v>3.26</v>
      </c>
      <c r="H23" s="39">
        <v>21450</v>
      </c>
      <c r="I23" s="49">
        <v>0.62722222222222224</v>
      </c>
      <c r="L23" s="48"/>
    </row>
    <row r="24" spans="1:12">
      <c r="A24" s="53" t="s">
        <v>28</v>
      </c>
      <c r="B24" s="53" t="s">
        <v>166</v>
      </c>
      <c r="C24" s="42">
        <v>141.9</v>
      </c>
      <c r="D24" s="67">
        <v>4.1999999999999997E-3</v>
      </c>
      <c r="E24" s="55">
        <v>2.0400000000000001E-2</v>
      </c>
      <c r="F24" s="68">
        <v>142.38</v>
      </c>
      <c r="G24" s="69">
        <v>139.5</v>
      </c>
      <c r="H24" s="53">
        <v>94922</v>
      </c>
      <c r="I24" s="56">
        <v>0.62722222222222224</v>
      </c>
      <c r="L24" s="48"/>
    </row>
    <row r="25" spans="1:12">
      <c r="A25" s="39" t="s">
        <v>29</v>
      </c>
      <c r="B25" s="33" t="s">
        <v>167</v>
      </c>
      <c r="C25" s="34">
        <v>0.57299999999999995</v>
      </c>
      <c r="D25" s="79">
        <v>3.5000000000000001E-3</v>
      </c>
      <c r="E25" s="35">
        <v>1.9300000000000001E-2</v>
      </c>
      <c r="F25" s="80">
        <v>0.57499999999999996</v>
      </c>
      <c r="G25" s="71">
        <v>0.56399999999999995</v>
      </c>
      <c r="H25" s="33">
        <v>25271</v>
      </c>
      <c r="I25" s="47">
        <v>0.62907407407407401</v>
      </c>
      <c r="L25" s="48"/>
    </row>
    <row r="26" spans="1:12">
      <c r="A26" s="39" t="s">
        <v>30</v>
      </c>
      <c r="B26" s="48" t="s">
        <v>168</v>
      </c>
      <c r="C26" s="43">
        <v>0.41499999999999998</v>
      </c>
      <c r="D26" s="82">
        <v>0</v>
      </c>
      <c r="E26" s="44">
        <v>2.1700000000000001E-2</v>
      </c>
      <c r="F26" s="84">
        <v>0.41499999999999998</v>
      </c>
      <c r="G26" s="65">
        <v>0.40600000000000003</v>
      </c>
      <c r="H26" s="48">
        <v>5958</v>
      </c>
      <c r="I26" s="50">
        <v>0.62907407407407401</v>
      </c>
      <c r="L26" s="48"/>
    </row>
    <row r="27" spans="1:12">
      <c r="A27" s="39" t="s">
        <v>31</v>
      </c>
      <c r="B27" s="48" t="s">
        <v>169</v>
      </c>
      <c r="C27" s="43">
        <v>0.51400000000000001</v>
      </c>
      <c r="D27" s="63">
        <v>-1.9E-3</v>
      </c>
      <c r="E27" s="44">
        <v>2.7199999999999998E-2</v>
      </c>
      <c r="F27" s="64">
        <v>0.51800000000000002</v>
      </c>
      <c r="G27" s="65">
        <v>0.504</v>
      </c>
      <c r="H27" s="48">
        <v>6120</v>
      </c>
      <c r="I27" s="50">
        <v>0.62907407407407401</v>
      </c>
      <c r="L27" s="48"/>
    </row>
    <row r="28" spans="1:12">
      <c r="A28" s="39" t="s">
        <v>32</v>
      </c>
      <c r="B28" s="48" t="s">
        <v>170</v>
      </c>
      <c r="C28" s="43">
        <v>0.96599999999999997</v>
      </c>
      <c r="D28" s="66">
        <v>3.0999999999999999E-3</v>
      </c>
      <c r="E28" s="44">
        <v>3.1199999999999999E-2</v>
      </c>
      <c r="F28" s="64">
        <v>0.97299999999999998</v>
      </c>
      <c r="G28" s="65">
        <v>0.94299999999999995</v>
      </c>
      <c r="H28" s="48">
        <v>5015</v>
      </c>
      <c r="I28" s="50">
        <v>0.62907407407407401</v>
      </c>
      <c r="L28" s="48"/>
    </row>
    <row r="29" spans="1:12">
      <c r="A29" s="39" t="s">
        <v>33</v>
      </c>
      <c r="B29" s="39" t="s">
        <v>171</v>
      </c>
      <c r="C29" s="40">
        <v>0.92900000000000005</v>
      </c>
      <c r="D29" s="81">
        <v>-0.02</v>
      </c>
      <c r="E29" s="41">
        <v>3.9E-2</v>
      </c>
      <c r="F29" s="78">
        <v>0.94199999999999995</v>
      </c>
      <c r="G29" s="78">
        <v>0.90500000000000003</v>
      </c>
      <c r="H29" s="39">
        <v>4761</v>
      </c>
      <c r="I29" s="49">
        <v>0.62907407407407401</v>
      </c>
      <c r="L29" s="48"/>
    </row>
    <row r="30" spans="1:12">
      <c r="A30" s="39" t="s">
        <v>34</v>
      </c>
      <c r="B30" s="48" t="s">
        <v>172</v>
      </c>
      <c r="C30" s="43">
        <v>0.55200000000000005</v>
      </c>
      <c r="D30" s="66">
        <v>2.5999999999999999E-2</v>
      </c>
      <c r="E30" s="44">
        <v>3.1600000000000003E-2</v>
      </c>
      <c r="F30" s="64">
        <v>0.55200000000000005</v>
      </c>
      <c r="G30" s="65">
        <v>0.53500000000000003</v>
      </c>
      <c r="H30" s="48">
        <v>5598</v>
      </c>
      <c r="I30" s="50">
        <v>0.62907407407407401</v>
      </c>
      <c r="L30" s="48"/>
    </row>
    <row r="31" spans="1:12">
      <c r="A31" s="39" t="s">
        <v>35</v>
      </c>
      <c r="B31" s="48" t="s">
        <v>173</v>
      </c>
      <c r="C31" s="43">
        <v>0.35199999999999998</v>
      </c>
      <c r="D31" s="66">
        <v>2.8E-3</v>
      </c>
      <c r="E31" s="44">
        <v>1.9900000000000001E-2</v>
      </c>
      <c r="F31" s="64">
        <v>0.35299999999999998</v>
      </c>
      <c r="G31" s="65">
        <v>0.34599999999999997</v>
      </c>
      <c r="H31" s="48">
        <v>2562</v>
      </c>
      <c r="I31" s="50">
        <v>0.62907407407407401</v>
      </c>
      <c r="L31" s="48"/>
    </row>
    <row r="32" spans="1:12">
      <c r="A32" s="39" t="s">
        <v>36</v>
      </c>
      <c r="B32" s="48" t="s">
        <v>174</v>
      </c>
      <c r="C32" s="43">
        <v>1.022</v>
      </c>
      <c r="D32" s="66">
        <v>1.1900000000000001E-2</v>
      </c>
      <c r="E32" s="44">
        <v>2.2800000000000001E-2</v>
      </c>
      <c r="F32" s="64">
        <v>1.0229999999999999</v>
      </c>
      <c r="G32" s="65">
        <v>1</v>
      </c>
      <c r="H32" s="48">
        <v>2145</v>
      </c>
      <c r="I32" s="50">
        <v>0.62907407407407401</v>
      </c>
      <c r="L32" s="48"/>
    </row>
    <row r="33" spans="1:12">
      <c r="A33" s="39" t="s">
        <v>37</v>
      </c>
      <c r="B33" s="48" t="s">
        <v>175</v>
      </c>
      <c r="C33" s="43">
        <v>0.97</v>
      </c>
      <c r="D33" s="66">
        <v>8.3000000000000001E-3</v>
      </c>
      <c r="E33" s="44">
        <v>2.18E-2</v>
      </c>
      <c r="F33" s="64">
        <v>0.97299999999999998</v>
      </c>
      <c r="G33" s="65">
        <v>0.95199999999999996</v>
      </c>
      <c r="H33" s="48">
        <v>1300</v>
      </c>
      <c r="I33" s="50">
        <v>0.62907407407407401</v>
      </c>
      <c r="L33" s="48"/>
    </row>
    <row r="34" spans="1:12">
      <c r="A34" s="39" t="s">
        <v>38</v>
      </c>
      <c r="B34" s="48" t="s">
        <v>176</v>
      </c>
      <c r="C34" s="43">
        <v>1.0169999999999999</v>
      </c>
      <c r="D34" s="66">
        <v>6.8999999999999999E-3</v>
      </c>
      <c r="E34" s="44">
        <v>1.5800000000000002E-2</v>
      </c>
      <c r="F34" s="64">
        <v>1.0169999999999999</v>
      </c>
      <c r="G34" s="65">
        <v>1.0009999999999999</v>
      </c>
      <c r="H34" s="48">
        <v>1512</v>
      </c>
      <c r="I34" s="50">
        <v>0.62907407407407401</v>
      </c>
      <c r="L34" s="48"/>
    </row>
    <row r="35" spans="1:12">
      <c r="A35" s="39" t="s">
        <v>39</v>
      </c>
      <c r="B35" s="48" t="s">
        <v>177</v>
      </c>
      <c r="C35" s="43">
        <v>0.97199999999999998</v>
      </c>
      <c r="D35" s="66">
        <v>2.9700000000000001E-2</v>
      </c>
      <c r="E35" s="44">
        <v>3.9199999999999999E-2</v>
      </c>
      <c r="F35" s="64">
        <v>0.97199999999999998</v>
      </c>
      <c r="G35" s="65">
        <v>0.93500000000000005</v>
      </c>
      <c r="H35" s="48">
        <v>726</v>
      </c>
      <c r="I35" s="50">
        <v>0.62907407407407401</v>
      </c>
      <c r="L35" s="48"/>
    </row>
    <row r="36" spans="1:12">
      <c r="A36" s="39" t="s">
        <v>40</v>
      </c>
      <c r="B36" s="48" t="s">
        <v>178</v>
      </c>
      <c r="C36" s="43">
        <v>0.59799999999999998</v>
      </c>
      <c r="D36" s="66">
        <v>5.0000000000000001E-3</v>
      </c>
      <c r="E36" s="44">
        <v>2.0199999999999999E-2</v>
      </c>
      <c r="F36" s="64">
        <v>0.59899999999999998</v>
      </c>
      <c r="G36" s="65">
        <v>0.58699999999999997</v>
      </c>
      <c r="H36" s="48">
        <v>401</v>
      </c>
      <c r="I36" s="50">
        <v>0.62907407407407401</v>
      </c>
      <c r="L36" s="48"/>
    </row>
    <row r="37" spans="1:12">
      <c r="A37" s="53" t="s">
        <v>41</v>
      </c>
      <c r="B37" s="53" t="s">
        <v>179</v>
      </c>
      <c r="C37" s="42">
        <v>0.80400000000000005</v>
      </c>
      <c r="D37" s="93">
        <v>0</v>
      </c>
      <c r="E37" s="55">
        <v>6.1999999999999998E-3</v>
      </c>
      <c r="F37" s="68">
        <v>0.80500000000000005</v>
      </c>
      <c r="G37" s="69">
        <v>0.8</v>
      </c>
      <c r="H37" s="53">
        <v>269</v>
      </c>
      <c r="I37" s="56">
        <v>0.62907407407407401</v>
      </c>
      <c r="L37" s="48"/>
    </row>
    <row r="38" spans="1:12">
      <c r="A38" s="39" t="s">
        <v>42</v>
      </c>
      <c r="B38" s="33" t="s">
        <v>180</v>
      </c>
      <c r="C38" s="34">
        <v>0.96699999999999997</v>
      </c>
      <c r="D38" s="83">
        <v>0</v>
      </c>
      <c r="E38" s="35">
        <v>3.0999999999999999E-3</v>
      </c>
      <c r="F38" s="80">
        <v>0.96799999999999997</v>
      </c>
      <c r="G38" s="71">
        <v>0.96499999999999997</v>
      </c>
      <c r="H38" s="33">
        <v>10790</v>
      </c>
      <c r="I38" s="47">
        <v>0.62907407407407401</v>
      </c>
      <c r="L38" s="48"/>
    </row>
    <row r="39" spans="1:12">
      <c r="A39" s="39" t="s">
        <v>43</v>
      </c>
      <c r="B39" s="48" t="s">
        <v>181</v>
      </c>
      <c r="C39" s="43">
        <v>0.96399999999999997</v>
      </c>
      <c r="D39" s="82">
        <v>0</v>
      </c>
      <c r="E39" s="44">
        <v>3.0999999999999999E-3</v>
      </c>
      <c r="F39" s="64">
        <v>0.96499999999999997</v>
      </c>
      <c r="G39" s="65">
        <v>0.96199999999999997</v>
      </c>
      <c r="H39" s="48">
        <v>3916</v>
      </c>
      <c r="I39" s="50">
        <v>0.62907407407407401</v>
      </c>
      <c r="L39" s="48"/>
    </row>
    <row r="40" spans="1:12">
      <c r="A40" s="48" t="s">
        <v>44</v>
      </c>
      <c r="B40" s="48" t="s">
        <v>182</v>
      </c>
      <c r="C40" s="43">
        <v>0.95</v>
      </c>
      <c r="D40" s="63">
        <v>-1.1000000000000001E-3</v>
      </c>
      <c r="E40" s="44">
        <v>3.2000000000000002E-3</v>
      </c>
      <c r="F40" s="84">
        <v>0.95099999999999996</v>
      </c>
      <c r="G40" s="65">
        <v>0.94799999999999995</v>
      </c>
      <c r="H40" s="48">
        <v>2551</v>
      </c>
      <c r="I40" s="50">
        <v>0.62907407407407401</v>
      </c>
      <c r="L40" s="51"/>
    </row>
    <row r="41" spans="1:12">
      <c r="A41" s="48" t="s">
        <v>45</v>
      </c>
      <c r="B41" s="48" t="s">
        <v>183</v>
      </c>
      <c r="C41" s="43">
        <v>1.038</v>
      </c>
      <c r="D41" s="63">
        <v>-1E-3</v>
      </c>
      <c r="E41" s="44">
        <v>3.8E-3</v>
      </c>
      <c r="F41" s="64">
        <v>1.0409999999999999</v>
      </c>
      <c r="G41" s="65">
        <v>1.0369999999999999</v>
      </c>
      <c r="H41" s="48">
        <v>2435</v>
      </c>
      <c r="I41" s="50">
        <v>0.62907407407407401</v>
      </c>
      <c r="L41" s="48"/>
    </row>
    <row r="42" spans="1:12">
      <c r="A42" s="48" t="s">
        <v>46</v>
      </c>
      <c r="B42" s="48" t="s">
        <v>184</v>
      </c>
      <c r="C42" s="43">
        <v>0.79500000000000004</v>
      </c>
      <c r="D42" s="66">
        <v>1.2999999999999999E-3</v>
      </c>
      <c r="E42" s="44">
        <v>6.3E-3</v>
      </c>
      <c r="F42" s="64">
        <v>0.79600000000000004</v>
      </c>
      <c r="G42" s="65">
        <v>0.79100000000000004</v>
      </c>
      <c r="H42" s="48">
        <v>1823</v>
      </c>
      <c r="I42" s="50">
        <v>0.62907407407407401</v>
      </c>
      <c r="L42" s="48"/>
    </row>
    <row r="43" spans="1:12">
      <c r="A43" s="39" t="s">
        <v>47</v>
      </c>
      <c r="B43" s="39" t="s">
        <v>185</v>
      </c>
      <c r="C43" s="40">
        <v>1.0129999999999999</v>
      </c>
      <c r="D43" s="81">
        <v>-1E-3</v>
      </c>
      <c r="E43" s="41">
        <v>3.0000000000000001E-3</v>
      </c>
      <c r="F43" s="77">
        <v>1.0149999999999999</v>
      </c>
      <c r="G43" s="78">
        <v>1.012</v>
      </c>
      <c r="H43" s="39">
        <v>1302</v>
      </c>
      <c r="I43" s="49">
        <v>0.62907407407407401</v>
      </c>
      <c r="L43" s="48"/>
    </row>
    <row r="44" spans="1:12">
      <c r="A44" s="48" t="s">
        <v>48</v>
      </c>
      <c r="B44" s="48" t="s">
        <v>186</v>
      </c>
      <c r="C44" s="43">
        <v>0.98499999999999999</v>
      </c>
      <c r="D44" s="66">
        <v>1E-3</v>
      </c>
      <c r="E44" s="44">
        <v>5.1000000000000004E-3</v>
      </c>
      <c r="F44" s="64">
        <v>0.98699999999999999</v>
      </c>
      <c r="G44" s="65">
        <v>0.98199999999999998</v>
      </c>
      <c r="H44" s="48">
        <v>983</v>
      </c>
      <c r="I44" s="50">
        <v>0.62907407407407401</v>
      </c>
      <c r="L44" s="48"/>
    </row>
    <row r="45" spans="1:12">
      <c r="A45" s="48" t="s">
        <v>49</v>
      </c>
      <c r="B45" s="48" t="s">
        <v>187</v>
      </c>
      <c r="C45" s="43">
        <v>1.0669999999999999</v>
      </c>
      <c r="D45" s="63">
        <v>-2.8E-3</v>
      </c>
      <c r="E45" s="44">
        <v>4.7000000000000002E-3</v>
      </c>
      <c r="F45" s="84">
        <v>1.07</v>
      </c>
      <c r="G45" s="65">
        <v>1.0649999999999999</v>
      </c>
      <c r="H45" s="48">
        <v>847</v>
      </c>
      <c r="I45" s="50">
        <v>0.62907407407407401</v>
      </c>
      <c r="L45" s="48"/>
    </row>
    <row r="46" spans="1:12">
      <c r="A46" s="53" t="s">
        <v>50</v>
      </c>
      <c r="B46" s="53" t="s">
        <v>188</v>
      </c>
      <c r="C46" s="42">
        <v>1.038</v>
      </c>
      <c r="D46" s="72">
        <v>-2.8999999999999998E-3</v>
      </c>
      <c r="E46" s="55">
        <v>6.7000000000000002E-3</v>
      </c>
      <c r="F46" s="69">
        <v>1.04</v>
      </c>
      <c r="G46" s="69">
        <v>1.0329999999999999</v>
      </c>
      <c r="H46" s="53">
        <v>294</v>
      </c>
      <c r="I46" s="56">
        <v>0.62907407407407401</v>
      </c>
      <c r="L46" s="48"/>
    </row>
    <row r="47" spans="1:12">
      <c r="A47" s="39"/>
      <c r="B47" s="39"/>
      <c r="C47" s="40"/>
      <c r="D47" s="81"/>
      <c r="E47" s="41"/>
      <c r="F47" s="78"/>
      <c r="G47" s="78"/>
      <c r="H47" s="39"/>
      <c r="I47" s="49"/>
      <c r="L47" s="39"/>
    </row>
    <row r="48" spans="1:12">
      <c r="A48" s="33" t="s">
        <v>54</v>
      </c>
      <c r="B48" s="33" t="s">
        <v>189</v>
      </c>
      <c r="C48" s="34">
        <v>91.79</v>
      </c>
      <c r="D48" s="79">
        <v>1.5800000000000002E-2</v>
      </c>
      <c r="E48" s="35">
        <v>1.7399999999999999E-2</v>
      </c>
      <c r="F48" s="80">
        <v>91.96</v>
      </c>
      <c r="G48" s="73">
        <v>90.39</v>
      </c>
      <c r="H48" s="33">
        <v>3789</v>
      </c>
      <c r="I48" s="47">
        <v>0.62722222222222224</v>
      </c>
      <c r="L48" s="48"/>
    </row>
    <row r="49" spans="1:12">
      <c r="A49" s="48" t="s">
        <v>55</v>
      </c>
      <c r="B49" s="48" t="s">
        <v>190</v>
      </c>
      <c r="C49" s="43">
        <v>90.287999999999997</v>
      </c>
      <c r="D49" s="66">
        <v>4.3E-3</v>
      </c>
      <c r="E49" s="44">
        <v>5.1999999999999998E-3</v>
      </c>
      <c r="F49" s="64">
        <v>90.387</v>
      </c>
      <c r="G49" s="75">
        <v>89.917000000000002</v>
      </c>
      <c r="H49" s="48">
        <v>1922</v>
      </c>
      <c r="I49" s="50">
        <v>0.62907407407407401</v>
      </c>
      <c r="L49" s="48"/>
    </row>
    <row r="50" spans="1:12">
      <c r="A50" s="53" t="s">
        <v>56</v>
      </c>
      <c r="B50" s="53" t="s">
        <v>191</v>
      </c>
      <c r="C50" s="42">
        <v>90.25</v>
      </c>
      <c r="D50" s="67">
        <v>6.4999999999999997E-3</v>
      </c>
      <c r="E50" s="55">
        <v>6.7000000000000002E-3</v>
      </c>
      <c r="F50" s="68">
        <v>90.35</v>
      </c>
      <c r="G50" s="85">
        <v>89.75</v>
      </c>
      <c r="H50" s="53">
        <v>2930</v>
      </c>
      <c r="I50" s="56">
        <v>0.62907407407407401</v>
      </c>
      <c r="L50" s="48"/>
    </row>
    <row r="51" spans="1:12">
      <c r="A51" s="39"/>
      <c r="B51" s="39"/>
      <c r="C51" s="40"/>
      <c r="D51" s="96"/>
      <c r="E51" s="41"/>
      <c r="F51" s="77"/>
      <c r="G51" s="97"/>
      <c r="H51" s="39"/>
      <c r="I51" s="49"/>
      <c r="L51" s="39"/>
    </row>
    <row r="52" spans="1:12">
      <c r="A52" s="1" t="s">
        <v>57</v>
      </c>
      <c r="B52" s="1" t="s">
        <v>192</v>
      </c>
      <c r="C52" s="21">
        <v>0.91100000000000003</v>
      </c>
      <c r="D52" s="58">
        <v>5.4999999999999997E-3</v>
      </c>
      <c r="E52" s="20">
        <v>8.8000000000000005E-3</v>
      </c>
      <c r="F52" s="86">
        <v>0.91400000000000003</v>
      </c>
      <c r="G52" s="87">
        <v>0.90600000000000003</v>
      </c>
      <c r="H52" s="1">
        <v>647</v>
      </c>
      <c r="I52" s="52">
        <v>0.62907407407407401</v>
      </c>
    </row>
    <row r="53" spans="1:12">
      <c r="A53" s="1" t="s">
        <v>58</v>
      </c>
      <c r="B53" s="1" t="s">
        <v>193</v>
      </c>
      <c r="C53" s="21">
        <v>0.91</v>
      </c>
      <c r="D53" s="58">
        <v>5.4999999999999997E-3</v>
      </c>
      <c r="E53" s="20">
        <v>6.6E-3</v>
      </c>
      <c r="F53" s="86">
        <v>0.91100000000000003</v>
      </c>
      <c r="G53" s="87">
        <v>0.90500000000000003</v>
      </c>
      <c r="H53" s="1">
        <v>596</v>
      </c>
      <c r="I53" s="52">
        <v>0.62907407407407401</v>
      </c>
    </row>
    <row r="54" spans="1:12">
      <c r="A54" s="1" t="s">
        <v>59</v>
      </c>
      <c r="B54" s="1" t="s">
        <v>194</v>
      </c>
      <c r="C54" s="21">
        <v>0.875</v>
      </c>
      <c r="D54" s="58">
        <v>6.8999999999999999E-3</v>
      </c>
      <c r="E54" s="20">
        <v>8.0999999999999996E-3</v>
      </c>
      <c r="F54" s="86">
        <v>0.876</v>
      </c>
      <c r="G54" s="87">
        <v>0.86899999999999999</v>
      </c>
      <c r="H54" s="1">
        <v>1570</v>
      </c>
      <c r="I54" s="52">
        <v>0.62907407407407401</v>
      </c>
    </row>
    <row r="55" spans="1:12">
      <c r="A55" s="1" t="s">
        <v>60</v>
      </c>
      <c r="B55" s="1" t="s">
        <v>195</v>
      </c>
      <c r="C55" s="21">
        <v>0.85299999999999998</v>
      </c>
      <c r="D55" s="58">
        <v>1.1999999999999999E-3</v>
      </c>
      <c r="E55" s="20">
        <v>8.2000000000000007E-3</v>
      </c>
      <c r="F55" s="86">
        <v>0.85499999999999998</v>
      </c>
      <c r="G55" s="88">
        <v>0.84799999999999998</v>
      </c>
      <c r="H55" s="1">
        <v>1710</v>
      </c>
      <c r="I55" s="52">
        <v>0.62907407407407401</v>
      </c>
    </row>
    <row r="56" spans="1:12">
      <c r="A56" s="1" t="s">
        <v>61</v>
      </c>
      <c r="B56" s="1" t="s">
        <v>196</v>
      </c>
      <c r="C56" s="21">
        <v>0.77</v>
      </c>
      <c r="D56" s="58">
        <v>5.1999999999999998E-3</v>
      </c>
      <c r="E56" s="20">
        <v>6.4999999999999997E-3</v>
      </c>
      <c r="F56" s="86">
        <v>0.77100000000000002</v>
      </c>
      <c r="G56" s="87">
        <v>0.76600000000000001</v>
      </c>
      <c r="H56" s="1">
        <v>957</v>
      </c>
      <c r="I56" s="52">
        <v>0.62907407407407401</v>
      </c>
    </row>
    <row r="57" spans="1:12">
      <c r="A57" s="1" t="s">
        <v>62</v>
      </c>
      <c r="B57" s="1" t="s">
        <v>197</v>
      </c>
      <c r="C57" s="21">
        <v>0.84699999999999998</v>
      </c>
      <c r="D57" s="57">
        <v>-4.7000000000000002E-3</v>
      </c>
      <c r="E57" s="20">
        <v>1.6500000000000001E-2</v>
      </c>
      <c r="F57" s="86">
        <v>0.85599999999999998</v>
      </c>
      <c r="G57" s="88">
        <v>0.84199999999999997</v>
      </c>
      <c r="H57" s="1">
        <v>1331</v>
      </c>
      <c r="I57" s="52">
        <v>0.62907407407407401</v>
      </c>
    </row>
    <row r="58" spans="1:12">
      <c r="A58" s="1" t="s">
        <v>63</v>
      </c>
      <c r="B58" s="1" t="s">
        <v>198</v>
      </c>
      <c r="C58" s="21">
        <v>0.99099999999999999</v>
      </c>
      <c r="D58" s="57">
        <v>-4.0000000000000001E-3</v>
      </c>
      <c r="E58" s="20">
        <v>1.3100000000000001E-2</v>
      </c>
      <c r="F58" s="86">
        <v>1.002</v>
      </c>
      <c r="G58" s="88">
        <v>0.98899999999999999</v>
      </c>
      <c r="H58" s="1">
        <v>1227</v>
      </c>
      <c r="I58" s="52">
        <v>0.62907407407407401</v>
      </c>
    </row>
    <row r="59" spans="1:12">
      <c r="A59" s="1" t="s">
        <v>64</v>
      </c>
      <c r="B59" s="1" t="s">
        <v>199</v>
      </c>
      <c r="C59" s="21">
        <v>0.90300000000000002</v>
      </c>
      <c r="D59" s="57">
        <v>-7.7000000000000002E-3</v>
      </c>
      <c r="E59" s="20">
        <v>1.21E-2</v>
      </c>
      <c r="F59" s="86">
        <v>0.91200000000000003</v>
      </c>
      <c r="G59" s="88">
        <v>0.90100000000000002</v>
      </c>
      <c r="H59" s="1">
        <v>1058</v>
      </c>
      <c r="I59" s="52">
        <v>0.62907407407407401</v>
      </c>
    </row>
    <row r="60" spans="1:12">
      <c r="A60" s="1" t="s">
        <v>65</v>
      </c>
      <c r="B60" s="1" t="s">
        <v>200</v>
      </c>
      <c r="C60" s="21">
        <v>0.88400000000000001</v>
      </c>
      <c r="D60" s="57">
        <v>-6.7000000000000002E-3</v>
      </c>
      <c r="E60" s="20">
        <v>1.7999999999999999E-2</v>
      </c>
      <c r="F60" s="86">
        <v>0.89600000000000002</v>
      </c>
      <c r="G60" s="88">
        <v>0.88</v>
      </c>
      <c r="H60" s="1">
        <v>1097</v>
      </c>
      <c r="I60" s="52">
        <v>0.62907407407407401</v>
      </c>
    </row>
    <row r="61" spans="1:12">
      <c r="A61" s="1" t="s">
        <v>66</v>
      </c>
      <c r="B61" s="1" t="s">
        <v>201</v>
      </c>
      <c r="C61" s="21">
        <v>0.71599999999999997</v>
      </c>
      <c r="D61" s="57">
        <v>-5.5999999999999999E-3</v>
      </c>
      <c r="E61" s="20">
        <v>1.67E-2</v>
      </c>
      <c r="F61" s="86">
        <v>0.72199999999999998</v>
      </c>
      <c r="G61" s="88">
        <v>0.71</v>
      </c>
      <c r="H61" s="1">
        <v>934</v>
      </c>
      <c r="I61" s="52">
        <v>0.62907407407407401</v>
      </c>
    </row>
    <row r="62" spans="1:12">
      <c r="A62" s="1" t="s">
        <v>67</v>
      </c>
      <c r="B62" s="1" t="s">
        <v>202</v>
      </c>
      <c r="C62" s="21">
        <v>0.65700000000000003</v>
      </c>
      <c r="D62" s="57">
        <v>-1.5E-3</v>
      </c>
      <c r="E62" s="20">
        <v>1.52E-2</v>
      </c>
      <c r="F62" s="86">
        <v>0.66</v>
      </c>
      <c r="G62" s="88">
        <v>0.65</v>
      </c>
      <c r="H62" s="1">
        <v>851</v>
      </c>
      <c r="I62" s="52">
        <v>0.62907407407407401</v>
      </c>
    </row>
    <row r="63" spans="1:12">
      <c r="A63" s="1" t="s">
        <v>68</v>
      </c>
      <c r="B63" s="1" t="s">
        <v>203</v>
      </c>
      <c r="C63" s="21">
        <v>1.234</v>
      </c>
      <c r="D63" s="57">
        <v>-6.4000000000000003E-3</v>
      </c>
      <c r="E63" s="20">
        <v>6.4000000000000003E-3</v>
      </c>
      <c r="F63" s="89">
        <v>1.2350000000000001</v>
      </c>
      <c r="G63" s="88">
        <v>1.2270000000000001</v>
      </c>
      <c r="H63" s="1">
        <v>1450</v>
      </c>
      <c r="I63" s="52">
        <v>0.62722222222222224</v>
      </c>
    </row>
    <row r="64" spans="1:12">
      <c r="A64" s="1" t="s">
        <v>69</v>
      </c>
      <c r="B64" s="1" t="s">
        <v>204</v>
      </c>
      <c r="C64" s="21">
        <v>1.1879999999999999</v>
      </c>
      <c r="D64" s="57">
        <v>-8.0000000000000004E-4</v>
      </c>
      <c r="E64" s="20">
        <v>5.8999999999999999E-3</v>
      </c>
      <c r="F64" s="86">
        <v>1.19</v>
      </c>
      <c r="G64" s="88">
        <v>1.1830000000000001</v>
      </c>
      <c r="H64" s="1">
        <v>198</v>
      </c>
      <c r="I64" s="52">
        <v>0.62722222222222224</v>
      </c>
    </row>
    <row r="65" spans="1:9">
      <c r="A65" s="1" t="s">
        <v>70</v>
      </c>
      <c r="B65" s="1" t="s">
        <v>205</v>
      </c>
      <c r="C65" s="21">
        <v>1.042</v>
      </c>
      <c r="D65" s="57">
        <v>-4.7999999999999996E-3</v>
      </c>
      <c r="E65" s="20">
        <v>9.5999999999999992E-3</v>
      </c>
      <c r="F65" s="89">
        <v>1.0449999999999999</v>
      </c>
      <c r="G65" s="88">
        <v>1.0349999999999999</v>
      </c>
      <c r="H65" s="1">
        <v>1754</v>
      </c>
      <c r="I65" s="52">
        <v>0.62722222222222224</v>
      </c>
    </row>
    <row r="66" spans="1:9">
      <c r="A66" s="1" t="s">
        <v>71</v>
      </c>
      <c r="B66" s="1" t="s">
        <v>206</v>
      </c>
      <c r="C66" s="21">
        <v>1.2929999999999999</v>
      </c>
      <c r="D66" s="57">
        <v>-8.0000000000000004E-4</v>
      </c>
      <c r="E66" s="20">
        <v>6.1999999999999998E-3</v>
      </c>
      <c r="F66" s="90">
        <v>1.294</v>
      </c>
      <c r="G66" s="88">
        <v>1.286</v>
      </c>
      <c r="H66" s="1">
        <v>2296</v>
      </c>
      <c r="I66" s="52">
        <v>0.62722222222222224</v>
      </c>
    </row>
    <row r="67" spans="1:9">
      <c r="A67" s="1" t="s">
        <v>72</v>
      </c>
      <c r="B67" s="1" t="s">
        <v>207</v>
      </c>
      <c r="C67" s="21">
        <v>0.91100000000000003</v>
      </c>
      <c r="D67" s="57">
        <v>-9.7999999999999997E-3</v>
      </c>
      <c r="E67" s="20">
        <v>9.7999999999999997E-3</v>
      </c>
      <c r="F67" s="89">
        <v>0.91500000000000004</v>
      </c>
      <c r="G67" s="88">
        <v>0.90600000000000003</v>
      </c>
      <c r="H67" s="1">
        <v>1357</v>
      </c>
      <c r="I67" s="52">
        <v>0.62722222222222224</v>
      </c>
    </row>
    <row r="68" spans="1:9">
      <c r="A68" s="1" t="s">
        <v>73</v>
      </c>
      <c r="B68" s="1" t="s">
        <v>208</v>
      </c>
      <c r="C68" s="21">
        <v>0.91800000000000004</v>
      </c>
      <c r="D68" s="57">
        <v>-8.6E-3</v>
      </c>
      <c r="E68" s="20">
        <v>1.6199999999999999E-2</v>
      </c>
      <c r="F68" s="89">
        <v>0.92500000000000004</v>
      </c>
      <c r="G68" s="88">
        <v>0.91</v>
      </c>
      <c r="H68" s="1">
        <v>1397</v>
      </c>
      <c r="I68" s="52">
        <v>0.62722222222222224</v>
      </c>
    </row>
    <row r="69" spans="1:9">
      <c r="A69" s="1" t="s">
        <v>74</v>
      </c>
      <c r="B69" s="1" t="s">
        <v>209</v>
      </c>
      <c r="C69" s="21">
        <v>0.91400000000000003</v>
      </c>
      <c r="D69" s="57">
        <v>-5.4000000000000003E-3</v>
      </c>
      <c r="E69" s="20">
        <v>1.52E-2</v>
      </c>
      <c r="F69" s="86">
        <v>0.92300000000000004</v>
      </c>
      <c r="G69" s="88">
        <v>0.90900000000000003</v>
      </c>
      <c r="H69" s="1">
        <v>1168</v>
      </c>
      <c r="I69" s="52">
        <v>0.62722222222222224</v>
      </c>
    </row>
    <row r="70" spans="1:9">
      <c r="A70" s="1" t="s">
        <v>75</v>
      </c>
      <c r="B70" s="1" t="s">
        <v>210</v>
      </c>
      <c r="C70" s="21">
        <v>0.88600000000000001</v>
      </c>
      <c r="D70" s="57">
        <v>-4.4999999999999997E-3</v>
      </c>
      <c r="E70" s="20">
        <v>1.46E-2</v>
      </c>
      <c r="F70" s="86">
        <v>0.89700000000000002</v>
      </c>
      <c r="G70" s="88">
        <v>0.88400000000000001</v>
      </c>
      <c r="H70" s="1">
        <v>1680</v>
      </c>
      <c r="I70" s="52">
        <v>0.62722222222222224</v>
      </c>
    </row>
    <row r="71" spans="1:9">
      <c r="A71" s="53" t="s">
        <v>76</v>
      </c>
      <c r="B71" s="53" t="s">
        <v>211</v>
      </c>
      <c r="C71" s="54">
        <v>0.747</v>
      </c>
      <c r="D71" s="72">
        <v>-4.0000000000000001E-3</v>
      </c>
      <c r="E71" s="55">
        <v>1.47E-2</v>
      </c>
      <c r="F71" s="68">
        <v>0.753</v>
      </c>
      <c r="G71" s="91">
        <v>0.74199999999999999</v>
      </c>
      <c r="H71" s="53">
        <v>877</v>
      </c>
      <c r="I71" s="56">
        <v>0.62722222222222224</v>
      </c>
    </row>
    <row r="72" spans="1:9">
      <c r="A72" s="1" t="s">
        <v>77</v>
      </c>
      <c r="B72" s="1" t="s">
        <v>212</v>
      </c>
      <c r="C72" s="21">
        <v>5.29</v>
      </c>
      <c r="D72" s="58">
        <v>1.4211</v>
      </c>
      <c r="E72" s="20">
        <v>0.86729999999999996</v>
      </c>
      <c r="F72" s="86">
        <v>6.4</v>
      </c>
      <c r="G72" s="92">
        <v>4.5049999999999999</v>
      </c>
      <c r="H72" s="1">
        <v>20557300</v>
      </c>
      <c r="I72" s="52">
        <v>0.62722222222222224</v>
      </c>
    </row>
    <row r="73" spans="1:9">
      <c r="A73" s="1" t="s">
        <v>78</v>
      </c>
      <c r="B73" s="1" t="s">
        <v>213</v>
      </c>
      <c r="C73" s="21">
        <v>2.5099999999999998</v>
      </c>
      <c r="D73" s="59">
        <v>0</v>
      </c>
      <c r="E73" s="20">
        <v>1.5139</v>
      </c>
      <c r="F73" s="86">
        <v>6.3</v>
      </c>
      <c r="G73" s="88">
        <v>2.5</v>
      </c>
      <c r="H73" s="1">
        <v>1969980</v>
      </c>
      <c r="I73" s="52">
        <v>0.62907407407407401</v>
      </c>
    </row>
    <row r="74" spans="1:9">
      <c r="A74" s="1" t="s">
        <v>111</v>
      </c>
      <c r="B74" s="1" t="s">
        <v>214</v>
      </c>
      <c r="C74" s="21">
        <v>103.22</v>
      </c>
      <c r="D74" s="58">
        <v>6.0000000000000001E-3</v>
      </c>
      <c r="E74" s="20">
        <v>5.5999999999999999E-3</v>
      </c>
      <c r="F74" s="86">
        <v>103.22</v>
      </c>
      <c r="G74" s="92">
        <v>102.65</v>
      </c>
      <c r="H74" s="1">
        <v>2849</v>
      </c>
      <c r="I74" s="52">
        <v>0.62722222222222224</v>
      </c>
    </row>
    <row r="75" spans="1:9">
      <c r="A75" s="1" t="s">
        <v>112</v>
      </c>
      <c r="B75" s="1" t="s">
        <v>215</v>
      </c>
      <c r="C75" s="21">
        <v>93.15</v>
      </c>
      <c r="D75" s="58">
        <v>1.5E-3</v>
      </c>
      <c r="E75" s="20">
        <v>1.8E-3</v>
      </c>
      <c r="F75" s="86">
        <v>93.18</v>
      </c>
      <c r="G75" s="87">
        <v>93.01</v>
      </c>
      <c r="H75" s="1">
        <v>1010</v>
      </c>
      <c r="I75" s="52">
        <v>0.62722222222222224</v>
      </c>
    </row>
    <row r="76" spans="1:9">
      <c r="A76" s="1" t="s">
        <v>113</v>
      </c>
      <c r="B76" s="1" t="s">
        <v>216</v>
      </c>
      <c r="C76" s="21">
        <v>97.088999999999999</v>
      </c>
      <c r="D76" s="58">
        <v>2.8E-3</v>
      </c>
      <c r="E76" s="20">
        <v>3.5000000000000001E-3</v>
      </c>
      <c r="F76" s="86">
        <v>97.088999999999999</v>
      </c>
      <c r="G76" s="88">
        <v>96.748999999999995</v>
      </c>
      <c r="H76" s="1">
        <v>486</v>
      </c>
      <c r="I76" s="52">
        <v>0.62907407407407401</v>
      </c>
    </row>
    <row r="77" spans="1:9">
      <c r="A77" s="1" t="s">
        <v>114</v>
      </c>
      <c r="B77" s="1" t="s">
        <v>217</v>
      </c>
      <c r="C77" s="21">
        <v>99.12</v>
      </c>
      <c r="D77" s="58">
        <v>4.1999999999999997E-3</v>
      </c>
      <c r="E77" s="20">
        <v>4.5999999999999999E-3</v>
      </c>
      <c r="F77" s="86">
        <v>99.16</v>
      </c>
      <c r="G77" s="87">
        <v>98.71</v>
      </c>
      <c r="H77" s="1">
        <v>11274</v>
      </c>
      <c r="I77" s="52">
        <v>0.62722222222222224</v>
      </c>
    </row>
    <row r="78" spans="1:9">
      <c r="A78" s="1" t="s">
        <v>115</v>
      </c>
      <c r="B78" s="1" t="s">
        <v>218</v>
      </c>
      <c r="C78" s="21">
        <v>105.6</v>
      </c>
      <c r="D78" s="58">
        <v>1.9E-3</v>
      </c>
      <c r="E78" s="20">
        <v>4.1000000000000003E-3</v>
      </c>
      <c r="F78" s="86">
        <v>105.78</v>
      </c>
      <c r="G78" s="88">
        <v>105.35</v>
      </c>
      <c r="H78" s="1">
        <v>1145</v>
      </c>
      <c r="I78" s="52">
        <v>0.62722222222222224</v>
      </c>
    </row>
    <row r="79" spans="1:9">
      <c r="A79" s="1" t="s">
        <v>52</v>
      </c>
      <c r="B79" s="1" t="s">
        <v>219</v>
      </c>
      <c r="C79" s="21">
        <v>101.08</v>
      </c>
      <c r="D79" s="58">
        <v>6.7999999999999996E-3</v>
      </c>
      <c r="E79" s="20">
        <v>7.7999999999999996E-3</v>
      </c>
      <c r="F79" s="86">
        <v>101.18</v>
      </c>
      <c r="G79" s="87">
        <v>100.4</v>
      </c>
      <c r="H79" s="1">
        <v>27506</v>
      </c>
      <c r="I79" s="52">
        <v>0.62722222222222224</v>
      </c>
    </row>
    <row r="80" spans="1:9">
      <c r="A80" s="1" t="s">
        <v>116</v>
      </c>
      <c r="B80" s="1" t="s">
        <v>220</v>
      </c>
      <c r="C80" s="21">
        <v>100.37</v>
      </c>
      <c r="D80" s="58">
        <v>8.2000000000000007E-3</v>
      </c>
      <c r="E80" s="20">
        <v>6.6E-3</v>
      </c>
      <c r="F80" s="86">
        <v>100.41</v>
      </c>
      <c r="G80" s="92">
        <v>99.75</v>
      </c>
      <c r="H80" s="1">
        <v>3089</v>
      </c>
      <c r="I80" s="52">
        <v>0.62722222222222224</v>
      </c>
    </row>
    <row r="81" spans="1:9">
      <c r="A81" s="1" t="s">
        <v>117</v>
      </c>
      <c r="B81" s="1" t="s">
        <v>221</v>
      </c>
      <c r="C81" s="21">
        <v>105.9</v>
      </c>
      <c r="D81" s="58">
        <v>1E-3</v>
      </c>
      <c r="E81" s="20">
        <v>1.6999999999999999E-3</v>
      </c>
      <c r="F81" s="86">
        <v>105.91</v>
      </c>
      <c r="G81" s="88">
        <v>105.73</v>
      </c>
      <c r="H81" s="1">
        <v>73</v>
      </c>
      <c r="I81" s="52">
        <v>0.62722222222222224</v>
      </c>
    </row>
    <row r="82" spans="1:9">
      <c r="A82" s="1" t="s">
        <v>118</v>
      </c>
      <c r="B82" s="1" t="s">
        <v>222</v>
      </c>
      <c r="C82" s="21">
        <v>112.27</v>
      </c>
      <c r="D82" s="58">
        <v>5.0000000000000001E-3</v>
      </c>
      <c r="E82" s="20">
        <v>7.0000000000000001E-3</v>
      </c>
      <c r="F82" s="86">
        <v>112.28</v>
      </c>
      <c r="G82" s="88">
        <v>111.5</v>
      </c>
      <c r="H82" s="1">
        <v>1305</v>
      </c>
      <c r="I82" s="52">
        <v>0.62722222222222224</v>
      </c>
    </row>
    <row r="83" spans="1:9">
      <c r="A83" s="1" t="s">
        <v>119</v>
      </c>
      <c r="B83" s="1" t="s">
        <v>223</v>
      </c>
      <c r="C83" s="21">
        <v>109.51</v>
      </c>
      <c r="D83" s="58">
        <v>1.6000000000000001E-3</v>
      </c>
      <c r="E83" s="20">
        <v>6.3E-3</v>
      </c>
      <c r="F83" s="86">
        <v>109.7</v>
      </c>
      <c r="G83" s="88">
        <v>109.01</v>
      </c>
      <c r="H83" s="1">
        <v>47465</v>
      </c>
      <c r="I83" s="52">
        <v>0.62722222222222224</v>
      </c>
    </row>
    <row r="84" spans="1:9">
      <c r="A84" s="1" t="s">
        <v>120</v>
      </c>
      <c r="B84" s="1" t="s">
        <v>224</v>
      </c>
      <c r="C84" s="21">
        <v>111.2</v>
      </c>
      <c r="D84" s="58">
        <v>7.7000000000000002E-3</v>
      </c>
      <c r="E84" s="20">
        <v>1.9E-2</v>
      </c>
      <c r="F84" s="86">
        <v>112</v>
      </c>
      <c r="G84" s="88">
        <v>109.899</v>
      </c>
      <c r="H84" s="1">
        <v>973</v>
      </c>
      <c r="I84" s="52">
        <v>0.62907407407407401</v>
      </c>
    </row>
    <row r="85" spans="1:9">
      <c r="A85" s="1" t="s">
        <v>121</v>
      </c>
      <c r="B85" s="1" t="s">
        <v>225</v>
      </c>
      <c r="C85" s="21">
        <v>106.26</v>
      </c>
      <c r="D85" s="58">
        <v>5.3E-3</v>
      </c>
      <c r="E85" s="20">
        <v>7.4999999999999997E-3</v>
      </c>
      <c r="F85" s="86">
        <v>106.26</v>
      </c>
      <c r="G85" s="88">
        <v>105.471</v>
      </c>
      <c r="H85" s="1">
        <v>144</v>
      </c>
      <c r="I85" s="52">
        <v>0.62907407407407401</v>
      </c>
    </row>
    <row r="86" spans="1:9">
      <c r="A86" s="1" t="s">
        <v>51</v>
      </c>
      <c r="B86" s="1" t="s">
        <v>226</v>
      </c>
      <c r="C86" s="21">
        <v>106.18</v>
      </c>
      <c r="D86" s="58">
        <v>1.4E-3</v>
      </c>
      <c r="E86" s="20">
        <v>4.7000000000000002E-3</v>
      </c>
      <c r="F86" s="86">
        <v>106.5</v>
      </c>
      <c r="G86" s="88">
        <v>106</v>
      </c>
      <c r="H86" s="1">
        <v>303</v>
      </c>
      <c r="I86" s="52">
        <v>0.62722222222222224</v>
      </c>
    </row>
    <row r="87" spans="1:9">
      <c r="A87" s="1" t="s">
        <v>122</v>
      </c>
      <c r="B87" s="1" t="s">
        <v>227</v>
      </c>
      <c r="C87" s="21">
        <v>115</v>
      </c>
      <c r="D87" s="57">
        <v>-2.9999999999999997E-4</v>
      </c>
      <c r="E87" s="20">
        <v>1.4800000000000001E-2</v>
      </c>
      <c r="F87" s="86">
        <v>115.699</v>
      </c>
      <c r="G87" s="88">
        <v>114</v>
      </c>
      <c r="H87" s="1">
        <v>439</v>
      </c>
      <c r="I87" s="52">
        <v>0.62907407407407401</v>
      </c>
    </row>
    <row r="88" spans="1:9">
      <c r="A88" s="1" t="s">
        <v>123</v>
      </c>
      <c r="B88" s="1" t="s">
        <v>228</v>
      </c>
      <c r="C88" s="21">
        <v>104.52200000000001</v>
      </c>
      <c r="D88" s="57">
        <v>-2.2000000000000001E-3</v>
      </c>
      <c r="E88" s="20">
        <v>1.5299999999999999E-2</v>
      </c>
      <c r="F88" s="86">
        <v>104.949</v>
      </c>
      <c r="G88" s="88">
        <v>103.35</v>
      </c>
      <c r="H88" s="1">
        <v>56</v>
      </c>
      <c r="I88" s="52">
        <v>0.62907407407407401</v>
      </c>
    </row>
    <row r="89" spans="1:9">
      <c r="A89" s="1" t="s">
        <v>124</v>
      </c>
      <c r="B89" s="1" t="s">
        <v>229</v>
      </c>
      <c r="C89" s="21">
        <v>112.49</v>
      </c>
      <c r="D89" s="58">
        <v>2.3999999999999998E-3</v>
      </c>
      <c r="E89" s="20">
        <v>7.4000000000000003E-3</v>
      </c>
      <c r="F89" s="86">
        <v>113</v>
      </c>
      <c r="G89" s="88">
        <v>112.17</v>
      </c>
      <c r="H89" s="1">
        <v>17639</v>
      </c>
      <c r="I89" s="52">
        <v>0.62722222222222224</v>
      </c>
    </row>
    <row r="90" spans="1:9">
      <c r="A90" s="1" t="s">
        <v>125</v>
      </c>
      <c r="B90" s="1" t="s">
        <v>230</v>
      </c>
      <c r="C90" s="21">
        <v>124.3</v>
      </c>
      <c r="D90" s="57" t="s">
        <v>231</v>
      </c>
      <c r="E90" s="20">
        <v>0</v>
      </c>
      <c r="F90" s="89">
        <v>0</v>
      </c>
      <c r="G90" s="88">
        <v>0</v>
      </c>
      <c r="H90" s="1">
        <v>0</v>
      </c>
      <c r="I90" s="52">
        <v>0.62907407407407401</v>
      </c>
    </row>
    <row r="91" spans="1:9">
      <c r="A91" s="1" t="s">
        <v>126</v>
      </c>
      <c r="B91" s="1" t="s">
        <v>232</v>
      </c>
      <c r="C91" s="21">
        <v>119.3</v>
      </c>
      <c r="D91" s="58">
        <v>5.1000000000000004E-3</v>
      </c>
      <c r="E91" s="20">
        <v>2.1700000000000001E-2</v>
      </c>
      <c r="F91" s="86">
        <v>119.8</v>
      </c>
      <c r="G91" s="88">
        <v>117.223</v>
      </c>
      <c r="H91" s="1">
        <v>258</v>
      </c>
      <c r="I91" s="52">
        <v>0.62907407407407401</v>
      </c>
    </row>
    <row r="92" spans="1:9">
      <c r="A92" s="1" t="s">
        <v>127</v>
      </c>
      <c r="B92" s="1" t="s">
        <v>233</v>
      </c>
      <c r="C92" s="21">
        <v>129.81</v>
      </c>
      <c r="D92" s="57">
        <v>-6.9999999999999999E-4</v>
      </c>
      <c r="E92" s="20">
        <v>9.1999999999999998E-3</v>
      </c>
      <c r="F92" s="86">
        <v>129.99</v>
      </c>
      <c r="G92" s="88">
        <v>128.80000000000001</v>
      </c>
      <c r="H92" s="1">
        <v>756</v>
      </c>
      <c r="I92" s="52">
        <v>0.62722222222222224</v>
      </c>
    </row>
    <row r="93" spans="1:9">
      <c r="A93" s="1" t="s">
        <v>53</v>
      </c>
      <c r="B93" s="1" t="s">
        <v>234</v>
      </c>
      <c r="C93" s="21">
        <v>132.6</v>
      </c>
      <c r="D93" s="58">
        <v>6.7999999999999996E-3</v>
      </c>
      <c r="E93" s="20">
        <v>2.6599999999999999E-2</v>
      </c>
      <c r="F93" s="86">
        <v>134.5</v>
      </c>
      <c r="G93" s="88">
        <v>131</v>
      </c>
      <c r="H93" s="1">
        <v>139010</v>
      </c>
      <c r="I93" s="52">
        <v>0.62722222222222224</v>
      </c>
    </row>
    <row r="94" spans="1:9">
      <c r="A94" s="1" t="s">
        <v>128</v>
      </c>
      <c r="B94" s="1" t="s">
        <v>235</v>
      </c>
      <c r="C94" s="21">
        <v>132.65</v>
      </c>
      <c r="D94" s="57">
        <v>-1.9E-3</v>
      </c>
      <c r="E94" s="20">
        <v>7.4999999999999997E-3</v>
      </c>
      <c r="F94" s="90">
        <v>132.9</v>
      </c>
      <c r="G94" s="88">
        <v>131.9</v>
      </c>
      <c r="H94" s="1">
        <v>314</v>
      </c>
      <c r="I94" s="52">
        <v>0.62722222222222224</v>
      </c>
    </row>
    <row r="95" spans="1:9">
      <c r="C95" s="1"/>
      <c r="E95" s="21"/>
      <c r="F95" s="1"/>
      <c r="G95" s="1"/>
      <c r="H95" s="22"/>
      <c r="I95" s="23"/>
    </row>
  </sheetData>
  <phoneticPr fontId="10" type="noConversion"/>
  <pageMargins left="0.69930555555555596" right="0.69930555555555596" top="0.75" bottom="0.75" header="0.3" footer="0.3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indexed="62"/>
  </sheetPr>
  <dimension ref="A1:I32"/>
  <sheetViews>
    <sheetView workbookViewId="0">
      <selection activeCell="I10" sqref="I10"/>
    </sheetView>
  </sheetViews>
  <sheetFormatPr defaultColWidth="9" defaultRowHeight="14.25"/>
  <cols>
    <col min="1" max="1" width="9" style="1"/>
    <col min="2" max="2" width="21.625" style="1" customWidth="1"/>
    <col min="3" max="6" width="9" style="1"/>
    <col min="7" max="7" width="8.875" style="1" customWidth="1"/>
    <col min="8" max="8" width="9" style="1"/>
    <col min="9" max="9" width="11.125" style="1"/>
    <col min="10" max="16384" width="9" style="1"/>
  </cols>
  <sheetData>
    <row r="1" spans="1:9">
      <c r="A1" s="15" t="s">
        <v>0</v>
      </c>
      <c r="B1" s="16" t="s">
        <v>1</v>
      </c>
      <c r="C1" s="17" t="s">
        <v>79</v>
      </c>
      <c r="D1" s="16" t="s">
        <v>80</v>
      </c>
      <c r="E1" s="17" t="s">
        <v>81</v>
      </c>
      <c r="F1" s="16" t="s">
        <v>3</v>
      </c>
      <c r="G1" s="16" t="s">
        <v>82</v>
      </c>
    </row>
    <row r="2" spans="1:9">
      <c r="A2" s="18" t="s">
        <v>21</v>
      </c>
      <c r="B2" s="1" t="s">
        <v>110</v>
      </c>
      <c r="C2" s="1">
        <v>1.7549999999999999</v>
      </c>
      <c r="D2" s="1">
        <v>2.3079999999999998</v>
      </c>
      <c r="E2" s="1">
        <v>1.796</v>
      </c>
      <c r="F2" s="57">
        <v>-2.2800000000000001E-2</v>
      </c>
      <c r="G2" s="19">
        <v>41534</v>
      </c>
    </row>
    <row r="3" spans="1:9">
      <c r="A3" s="18" t="s">
        <v>83</v>
      </c>
      <c r="B3" s="1" t="s">
        <v>130</v>
      </c>
      <c r="C3" s="1">
        <v>97.944999999999993</v>
      </c>
      <c r="D3" s="1">
        <v>0.98199999999999998</v>
      </c>
      <c r="E3" s="1">
        <v>97.706000000000003</v>
      </c>
      <c r="F3" s="58">
        <v>2.3999999999999998E-3</v>
      </c>
      <c r="G3" s="19">
        <v>41534</v>
      </c>
    </row>
    <row r="4" spans="1:9">
      <c r="A4" s="1" t="s">
        <v>84</v>
      </c>
      <c r="B4" s="1" t="s">
        <v>131</v>
      </c>
      <c r="C4" s="1">
        <v>99.5077</v>
      </c>
      <c r="D4" s="1">
        <v>0.99509999999999998</v>
      </c>
      <c r="E4" s="1">
        <v>99.475399999999993</v>
      </c>
      <c r="F4" s="58">
        <v>2.9999999999999997E-4</v>
      </c>
      <c r="G4" s="19">
        <v>41534</v>
      </c>
    </row>
    <row r="5" spans="1:9">
      <c r="A5" s="18" t="s">
        <v>85</v>
      </c>
      <c r="B5" s="1" t="s">
        <v>132</v>
      </c>
      <c r="C5" s="1">
        <v>2.6162999999999998</v>
      </c>
      <c r="D5" s="1">
        <v>0.98970000000000002</v>
      </c>
      <c r="E5" s="1">
        <v>2.6337000000000002</v>
      </c>
      <c r="F5" s="57">
        <v>-6.6E-3</v>
      </c>
      <c r="G5" s="19">
        <v>41534</v>
      </c>
    </row>
    <row r="6" spans="1:9">
      <c r="A6" s="18" t="s">
        <v>16</v>
      </c>
      <c r="B6" s="1" t="s">
        <v>133</v>
      </c>
      <c r="C6" s="1">
        <v>2.6160000000000001</v>
      </c>
      <c r="D6" s="1">
        <v>0.98799999999999999</v>
      </c>
      <c r="E6" s="1">
        <v>2.6339999999999999</v>
      </c>
      <c r="F6" s="57">
        <v>-6.7999999999999996E-3</v>
      </c>
      <c r="G6" s="19">
        <v>41534</v>
      </c>
    </row>
    <row r="7" spans="1:9">
      <c r="A7" s="18" t="s">
        <v>17</v>
      </c>
      <c r="B7" s="1" t="s">
        <v>134</v>
      </c>
      <c r="C7" s="1">
        <v>1.0428999999999999</v>
      </c>
      <c r="D7" s="1">
        <v>1.0428999999999999</v>
      </c>
      <c r="E7" s="1">
        <v>1.0582</v>
      </c>
      <c r="F7" s="57">
        <v>-1.4500000000000001E-2</v>
      </c>
      <c r="G7" s="19">
        <v>41534</v>
      </c>
      <c r="I7" s="20"/>
    </row>
    <row r="8" spans="1:9">
      <c r="A8" s="60" t="s">
        <v>18</v>
      </c>
      <c r="B8" s="1" t="s">
        <v>135</v>
      </c>
      <c r="C8" s="1">
        <v>0.84819999999999995</v>
      </c>
      <c r="D8" s="1">
        <v>0.84819999999999995</v>
      </c>
      <c r="E8" s="1">
        <v>0.86429999999999996</v>
      </c>
      <c r="F8" s="57">
        <v>-1.8599999999999998E-2</v>
      </c>
      <c r="G8" s="19">
        <v>41534</v>
      </c>
      <c r="I8" s="20"/>
    </row>
    <row r="9" spans="1:9">
      <c r="A9" s="60" t="s">
        <v>19</v>
      </c>
      <c r="B9" s="1" t="s">
        <v>136</v>
      </c>
      <c r="C9" s="1">
        <v>1.631</v>
      </c>
      <c r="D9" s="1">
        <v>0.50600000000000001</v>
      </c>
      <c r="E9" s="1">
        <v>1.677</v>
      </c>
      <c r="F9" s="57">
        <v>-2.7400000000000001E-2</v>
      </c>
      <c r="G9" s="19">
        <v>41534</v>
      </c>
    </row>
    <row r="10" spans="1:9">
      <c r="A10" s="60" t="s">
        <v>22</v>
      </c>
      <c r="B10" s="1" t="s">
        <v>137</v>
      </c>
      <c r="C10" s="1">
        <v>1.0903</v>
   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ans="1:9">
      <c r="A11" s="60" t="s">
        <v>107</v>
      </c>
      <c r="B11" s="1" t="s">
        <v>138</v>
      </c>
      <c r="C11" s="1">
        <v>0.89219999999999999</v>
      </c>
      <c r="D11" s="1">
        <v>0.89219999999999999</v>
      </c>
      <c r="E11" s="1">
        <v>0.91339999999999999</v>
      </c>
      <c r="F11" s="57">
        <v>-2.3199999999999998E-2</v>
      </c>
      <c r="G11" s="19">
        <v>41534</v>
      </c>
    </row>
    <row r="12" spans="1:9">
      <c r="A12" s="60" t="s">
        <v>20</v>
      </c>
      <c r="B12" s="1" t="s">
        <v>139</v>
      </c>
      <c r="C12" s="1">
        <v>3.4279999999999999</v>
      </c>
      <c r="D12" s="1">
        <v>0.97399999999999998</v>
      </c>
      <c r="E12" s="1">
        <v>3.508</v>
      </c>
      <c r="F12" s="57">
        <v>-2.2800000000000001E-2</v>
      </c>
      <c r="G12" s="19">
        <v>41534</v>
      </c>
    </row>
    <row r="13" spans="1:9">
      <c r="A13" s="60"/>
      <c r="F13" s="57"/>
      <c r="G13" s="19"/>
    </row>
    <row r="14" spans="1:9">
      <c r="A14" s="60"/>
      <c r="F14" s="57"/>
      <c r="G14" s="19"/>
    </row>
    <row r="15" spans="1:9">
      <c r="A15" s="60" t="s">
        <v>36</v>
      </c>
      <c r="B15" s="1" t="s">
        <v>140</v>
      </c>
      <c r="C15" s="1">
        <v>1.0209999999999999</v>
      </c>
      <c r="D15" s="1">
        <v>1.0209999999999999</v>
      </c>
      <c r="E15" s="1">
        <v>1.099</v>
      </c>
      <c r="F15" s="57">
        <v>-7.0999999999999994E-2</v>
      </c>
      <c r="G15" s="19">
        <v>41534</v>
      </c>
    </row>
    <row r="16" spans="1:9">
      <c r="A16" s="60" t="s">
        <v>29</v>
      </c>
      <c r="B16" s="1" t="s">
        <v>141</v>
      </c>
      <c r="C16" s="1">
        <v>0.5</v>
      </c>
      <c r="D16" s="1">
        <v>0.5</v>
      </c>
      <c r="E16" s="1">
        <v>0.52400000000000002</v>
      </c>
      <c r="F16" s="57">
        <v>-4.58E-2</v>
      </c>
      <c r="G16" s="19">
        <v>41534</v>
      </c>
    </row>
    <row r="17" spans="1:7">
      <c r="A17" s="60" t="s">
        <v>108</v>
      </c>
      <c r="B17" s="1" t="s">
        <v>142</v>
      </c>
      <c r="C17" s="1">
        <v>1.032</v>
      </c>
      <c r="D17" s="1">
        <v>1.032</v>
      </c>
      <c r="E17" s="1">
        <v>1.0549999999999999</v>
      </c>
      <c r="F17" s="57">
        <v>-2.18E-2</v>
      </c>
      <c r="G17" s="19">
        <v>41534</v>
      </c>
    </row>
    <row r="18" spans="1:7">
      <c r="A18" s="60" t="s">
        <v>109</v>
      </c>
      <c r="B18" s="1" t="s">
        <v>143</v>
      </c>
      <c r="C18" s="1">
        <v>0.57550000000000001</v>
      </c>
      <c r="D18" s="1">
        <v>0.6421</v>
      </c>
      <c r="E18" s="1">
        <v>0.58709999999999996</v>
      </c>
      <c r="F18" s="57">
        <v>-1.9800000000000002E-2</v>
      </c>
      <c r="G18" s="19">
        <v>41534</v>
      </c>
    </row>
    <row r="19" spans="1:7">
      <c r="A19" s="60" t="s">
        <v>46</v>
      </c>
      <c r="B19" s="1" t="s">
        <v>144</v>
      </c>
      <c r="C19" s="1">
        <v>1.0427</v>
      </c>
      <c r="D19" s="1">
        <v>1.1758999999999999</v>
      </c>
      <c r="E19" s="1">
        <v>1.0426</v>
      </c>
      <c r="F19" s="58">
        <v>1E-4</v>
      </c>
      <c r="G19" s="19">
        <v>41534</v>
      </c>
    </row>
    <row r="20" spans="1:7">
      <c r="A20" s="1" t="s">
        <v>35</v>
      </c>
      <c r="B20" s="1" t="s">
        <v>145</v>
      </c>
      <c r="C20" s="1">
        <v>0.10829999999999999</v>
      </c>
      <c r="D20" s="1">
        <v>0.10829999999999999</v>
      </c>
      <c r="E20" s="1">
        <v>0.13159999999999999</v>
      </c>
      <c r="F20" s="57">
        <v>-0.17710000000000001</v>
      </c>
      <c r="G20" s="19">
        <v>41534</v>
      </c>
    </row>
    <row r="21" spans="1:7">
      <c r="A21" s="1" t="s">
        <v>86</v>
      </c>
      <c r="B21" s="1" t="s">
        <v>146</v>
      </c>
      <c r="C21" s="1">
        <v>0.96799999999999997</v>
      </c>
      <c r="D21" s="1">
        <v>0.998</v>
      </c>
      <c r="E21" s="1">
        <v>0.98299999999999998</v>
      </c>
      <c r="F21" s="57">
        <v>-1.5299999999999999E-2</v>
      </c>
      <c r="G21" s="19">
        <v>41534</v>
      </c>
    </row>
    <row r="22" spans="1:7">
      <c r="A22" s="1" t="s">
        <v>87</v>
      </c>
      <c r="B22" s="1" t="s">
        <v>147</v>
      </c>
      <c r="C22" s="1">
        <v>1.006</v>
      </c>
      <c r="D22" s="1">
        <v>1.0669999999999999</v>
      </c>
      <c r="E22" s="1">
        <v>1.006</v>
      </c>
      <c r="F22" s="59">
        <v>0</v>
      </c>
      <c r="G22" s="19">
        <v>41534</v>
      </c>
    </row>
    <row r="23" spans="1:7">
      <c r="A23" s="1" t="s">
        <v>88</v>
      </c>
      <c r="B23" s="1" t="s">
        <v>148</v>
      </c>
      <c r="C23" s="1">
        <v>0.93</v>
      </c>
      <c r="D23" s="1">
        <v>0.93</v>
      </c>
      <c r="E23" s="1">
        <v>0.96099999999999997</v>
      </c>
      <c r="F23" s="57">
        <v>-3.2300000000000002E-2</v>
      </c>
      <c r="G23" s="19">
        <v>41534</v>
      </c>
    </row>
    <row r="24" spans="1:7">
      <c r="A24" s="1" t="s">
        <v>89</v>
      </c>
      <c r="B24" s="1" t="s">
        <v>149</v>
      </c>
      <c r="C24" s="1">
        <v>1.4573</v>
      </c>
      <c r="D24" s="1">
        <v>3.6673</v>
      </c>
      <c r="E24" s="1">
        <v>1.4659</v>
      </c>
      <c r="F24" s="57">
        <v>-5.8999999999999999E-3</v>
      </c>
      <c r="G24" s="19">
        <v>41534</v>
      </c>
    </row>
    <row r="25" spans="1:7">
      <c r="A25" s="1" t="s">
        <v>90</v>
      </c>
      <c r="B25" s="1" t="s">
        <v>150</v>
      </c>
      <c r="C25" s="1">
        <v>0.51300000000000001</v>
      </c>
      <c r="D25" s="1">
        <v>2.6869999999999998</v>
      </c>
      <c r="E25" s="1">
        <v>0.52200000000000002</v>
      </c>
      <c r="F25" s="57">
        <v>-1.72E-2</v>
      </c>
      <c r="G25" s="19">
        <v>41534</v>
      </c>
    </row>
    <row r="26" spans="1:7">
      <c r="A26" s="1" t="s">
        <v>91</v>
      </c>
      <c r="B26" s="1" t="s">
        <v>151</v>
      </c>
      <c r="C26" s="1">
        <v>1.0329999999999999</v>
      </c>
      <c r="D26" s="1">
        <v>1.0429999999999999</v>
      </c>
      <c r="E26" s="1">
        <v>1.0329999999999999</v>
      </c>
      <c r="F26" s="59">
        <v>0</v>
      </c>
      <c r="G26" s="19">
        <v>41534</v>
      </c>
    </row>
    <row r="27" spans="1:7">
      <c r="A27" s="1" t="s">
        <v>92</v>
      </c>
      <c r="B27" s="1" t="s">
        <v>152</v>
      </c>
      <c r="C27" s="1">
        <v>1.8494999999999999</v>
      </c>
      <c r="D27" s="1">
        <v>3.1595</v>
      </c>
      <c r="E27" s="1">
        <v>1.8892</v>
      </c>
      <c r="F27" s="57">
        <v>-2.1000000000000001E-2</v>
      </c>
      <c r="G27" s="19">
        <v>41534</v>
      </c>
    </row>
    <row r="28" spans="1:7">
      <c r="A28" s="1" t="s">
        <v>93</v>
      </c>
      <c r="B28" s="1" t="s">
        <v>153</v>
      </c>
      <c r="C28" s="1">
        <v>0.98099999999999998</v>
      </c>
      <c r="D28" s="1">
        <v>0.99399999999999999</v>
      </c>
      <c r="E28" s="1">
        <v>0.96899999999999997</v>
      </c>
      <c r="F28" s="58">
        <v>1.24E-2</v>
      </c>
      <c r="G28" s="19">
        <v>41534</v>
      </c>
    </row>
    <row r="29" spans="1:7">
      <c r="A29" s="1" t="s">
        <v>94</v>
      </c>
      <c r="B29" s="1" t="s">
        <v>154</v>
      </c>
      <c r="C29" s="1">
        <v>1.0129999999999999</v>
      </c>
      <c r="D29" s="1">
        <v>1.0129999999999999</v>
      </c>
      <c r="E29" s="1">
        <v>1.014</v>
      </c>
      <c r="F29" s="57">
        <v>-1E-3</v>
      </c>
      <c r="G29" s="19">
        <v>41534</v>
      </c>
    </row>
    <row r="32" spans="1:7">
      <c r="B32" s="14" t="s">
        <v>95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indexed="53"/>
  </sheetPr>
  <dimension ref="A1:B12"/>
  <sheetViews>
    <sheetView workbookViewId="0">
      <selection activeCell="C13" sqref="C13"/>
    </sheetView>
  </sheetViews>
  <sheetFormatPr defaultColWidth="9" defaultRowHeight="14.2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>
      <c r="A1" s="2" t="s">
        <v>1</v>
      </c>
      <c r="B1" s="3" t="s">
        <v>96</v>
      </c>
    </row>
    <row r="2" spans="1:2">
      <c r="A2" s="4" t="s">
        <v>97</v>
      </c>
      <c r="B2" s="5">
        <v>4.24</v>
      </c>
    </row>
    <row r="3" spans="1:2">
      <c r="A3" s="6" t="s">
        <v>98</v>
      </c>
      <c r="B3" s="7">
        <v>256.01</v>
      </c>
    </row>
    <row r="4" spans="1:2">
      <c r="A4" s="6" t="s">
        <v>99</v>
      </c>
      <c r="B4" s="7">
        <v>21.57</v>
      </c>
    </row>
    <row r="5" spans="1:2">
      <c r="A5" s="6" t="s">
        <v>100</v>
      </c>
      <c r="B5" s="7">
        <v>1300.8800000000001</v>
      </c>
    </row>
    <row r="6" spans="1:2">
      <c r="A6" s="6" t="s">
        <v>101</v>
      </c>
      <c r="B6" s="7">
        <v>4388</v>
      </c>
    </row>
    <row r="7" spans="1:2">
      <c r="A7" s="6" t="s">
        <v>102</v>
      </c>
      <c r="B7" s="8">
        <v>258.81</v>
      </c>
    </row>
    <row r="8" spans="1:2">
      <c r="A8" s="9" t="s">
        <v>103</v>
      </c>
      <c r="B8" s="10">
        <v>259.5</v>
      </c>
    </row>
    <row r="9" spans="1:2">
      <c r="A9" s="11" t="s">
        <v>104</v>
      </c>
      <c r="B9" s="12">
        <f>B5/B4</f>
        <v>60.309689383402876</v>
      </c>
    </row>
    <row r="10" spans="1:2">
      <c r="A10" s="13" t="s">
        <v>105</v>
      </c>
      <c r="B10" s="10">
        <f>B6-B2*1000</f>
        <v>148</v>
      </c>
    </row>
    <row r="12" spans="1:2">
      <c r="A12" s="14" t="s">
        <v>106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linking</cp:lastModifiedBy>
  <dcterms:created xsi:type="dcterms:W3CDTF">2013-09-18T14:02:55Z</dcterms:created>
  <dcterms:modified xsi:type="dcterms:W3CDTF">2019-09-11T06:53:51Z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