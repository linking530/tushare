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6-kpan\money\"/>
    </mc:Choice>
  </mc:AlternateContent>
  <bookViews>
    <workbookView xWindow="0" yWindow="0" windowWidth="16680" windowHeight="12180"/>
  </bookViews>
  <sheets>
    <sheet name="简单行情（包括实时港股）" sheetId="4" r:id="rId1"/>
    <sheet name="股票指数" sheetId="1" r:id="rId2"/>
    <sheet name="开放式基金" sheetId="2" r:id="rId3"/>
    <sheet name="贵金属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B10" i="3" l="1"/>
  <c r="B9" i="3"/>
</calcChain>
</file>

<file path=xl/sharedStrings.xml><?xml version="1.0" encoding="utf-8"?>
<sst xmlns="http://schemas.openxmlformats.org/spreadsheetml/2006/main" count="360" uniqueCount="290">
  <si>
    <t>代码</t>
  </si>
  <si>
    <t>名称</t>
  </si>
  <si>
    <t>当前价</t>
  </si>
  <si>
    <t>涨跌幅</t>
  </si>
  <si>
    <t>振幅</t>
  </si>
  <si>
    <t>最高价</t>
  </si>
  <si>
    <t>最低价</t>
  </si>
  <si>
    <t>成交金额</t>
  </si>
  <si>
    <t>更新时间</t>
  </si>
  <si>
    <t>sh000001</t>
  </si>
  <si>
    <t>sz399001</t>
  </si>
  <si>
    <t>sh000300</t>
  </si>
  <si>
    <t>sz399004</t>
  </si>
  <si>
    <t>sz399005</t>
  </si>
  <si>
    <t>sz399006</t>
  </si>
  <si>
    <t>sh000832</t>
  </si>
  <si>
    <t>sh518880</t>
  </si>
  <si>
    <t>sh510660</t>
  </si>
  <si>
    <t>sh510610</t>
  </si>
  <si>
    <t>sh510170</t>
  </si>
  <si>
    <t>sh510230</t>
  </si>
  <si>
    <t>sh510050</t>
  </si>
  <si>
    <t>sh510630</t>
  </si>
  <si>
    <t>sh601318</t>
  </si>
  <si>
    <t>sz000069</t>
  </si>
  <si>
    <t>sh600798</t>
  </si>
  <si>
    <t>sh600900</t>
  </si>
  <si>
    <t>sh601668</t>
  </si>
  <si>
    <t>sh600519</t>
  </si>
  <si>
    <t>sz150019</t>
  </si>
  <si>
    <t>sz150060</t>
  </si>
  <si>
    <t>sz150101</t>
  </si>
  <si>
    <t>sz150013</t>
  </si>
  <si>
    <t>sz150052</t>
  </si>
  <si>
    <t>sz150029</t>
  </si>
  <si>
    <t>sz150023</t>
  </si>
  <si>
    <t>sz150118</t>
  </si>
  <si>
    <t>sz150031</t>
  </si>
  <si>
    <t>sz150086</t>
  </si>
  <si>
    <t>sz150131</t>
  </si>
  <si>
    <t>sz150097</t>
  </si>
  <si>
    <t>sz150124</t>
  </si>
  <si>
    <t>sz150018</t>
  </si>
  <si>
    <t>sz150100</t>
  </si>
  <si>
    <t>sz150051</t>
  </si>
  <si>
    <t>sz150028</t>
  </si>
  <si>
    <t>sz150022</t>
  </si>
  <si>
    <t>sz150059</t>
  </si>
  <si>
    <t>sz150012</t>
  </si>
  <si>
    <t>sz150117</t>
  </si>
  <si>
    <t>sz150130</t>
  </si>
  <si>
    <t>sh110012</t>
  </si>
  <si>
    <t>sh113001</t>
  </si>
  <si>
    <t>sh113003</t>
  </si>
  <si>
    <t>sh122115</t>
  </si>
  <si>
    <t>sz112087</t>
  </si>
  <si>
    <t>sz112072</t>
  </si>
  <si>
    <t>sz184689</t>
  </si>
  <si>
    <t>sz184690</t>
  </si>
  <si>
    <t>sz184691</t>
  </si>
  <si>
    <t>sz184692</t>
  </si>
  <si>
    <t>sz184693</t>
  </si>
  <si>
    <t>sz184698</t>
  </si>
  <si>
    <t>sz184699</t>
  </si>
  <si>
    <t>sz184701</t>
  </si>
  <si>
    <t>sz184721</t>
  </si>
  <si>
    <t>sz184722</t>
  </si>
  <si>
    <t>sz184728</t>
  </si>
  <si>
    <t>sh500002</t>
  </si>
  <si>
    <t>sh500005</t>
  </si>
  <si>
    <t>sh500009</t>
  </si>
  <si>
    <t>sh500011</t>
  </si>
  <si>
    <t>sh500015</t>
  </si>
  <si>
    <t>sh500018</t>
  </si>
  <si>
    <t>sh500038</t>
  </si>
  <si>
    <t>sh500056</t>
  </si>
  <si>
    <t>sh500058</t>
  </si>
  <si>
    <t>sh204001</t>
  </si>
  <si>
    <t>sz131810</t>
  </si>
  <si>
    <t>净值</t>
  </si>
  <si>
    <t>累计净值</t>
  </si>
  <si>
    <t>上日净值</t>
  </si>
  <si>
    <t>净值日期</t>
  </si>
  <si>
    <t>sh511010</t>
  </si>
  <si>
    <t>sh511210</t>
  </si>
  <si>
    <t>sh518800</t>
  </si>
  <si>
    <t>of121099</t>
  </si>
  <si>
    <t>of121007</t>
  </si>
  <si>
    <t>sz150001</t>
  </si>
  <si>
    <t>sz163801</t>
  </si>
  <si>
    <t>of040002</t>
  </si>
  <si>
    <t>of202110</t>
  </si>
  <si>
    <t>of162703</t>
  </si>
  <si>
    <t>of070031</t>
  </si>
  <si>
    <t>of202213</t>
  </si>
  <si>
    <t>*代码的前两位字母随意，重要的是后面的6位基金代码</t>
  </si>
  <si>
    <t>价格</t>
  </si>
  <si>
    <t>纸白银￥</t>
  </si>
  <si>
    <t>纸黄金￥</t>
  </si>
  <si>
    <t>纸白银＄</t>
  </si>
  <si>
    <t>纸黄金＄</t>
  </si>
  <si>
    <t>白银TD</t>
  </si>
  <si>
    <t>黄金TD</t>
  </si>
  <si>
    <t>Au99.99</t>
  </si>
  <si>
    <t>金银比</t>
  </si>
  <si>
    <t>白银溢价</t>
  </si>
  <si>
    <t>*从工商银行贵金属行情中获取的数据</t>
  </si>
  <si>
    <t>sh510620</t>
  </si>
  <si>
    <t>sz150144</t>
  </si>
  <si>
    <t>of163109</t>
  </si>
  <si>
    <t>sh110020</t>
  </si>
  <si>
    <t>sh110017</t>
  </si>
  <si>
    <t>sz125089</t>
  </si>
  <si>
    <t>sh110015</t>
  </si>
  <si>
    <t>sh110007</t>
  </si>
  <si>
    <t>sh110011</t>
  </si>
  <si>
    <t>sh110019</t>
  </si>
  <si>
    <t>sh110018</t>
  </si>
  <si>
    <t>sh110023</t>
  </si>
  <si>
    <t>sz128003</t>
  </si>
  <si>
    <t>sz128001</t>
  </si>
  <si>
    <t>sz127001</t>
  </si>
  <si>
    <t>sz126729</t>
  </si>
  <si>
    <t>sh113002</t>
  </si>
  <si>
    <t>sz128002</t>
  </si>
  <si>
    <t>sz125887</t>
  </si>
  <si>
    <t>sh110016</t>
  </si>
  <si>
    <t>sh110022</t>
  </si>
  <si>
    <t>空白行不影响数据读取啦！</t>
    <phoneticPr fontId="10" type="noConversion"/>
  </si>
  <si>
    <t>华安黄金易(ETF)</t>
    <phoneticPr fontId="10" type="noConversion"/>
  </si>
  <si>
    <t>华夏医药ETF</t>
    <phoneticPr fontId="10" type="noConversion"/>
  </si>
  <si>
    <t>华夏能源ETF</t>
    <phoneticPr fontId="10" type="noConversion"/>
  </si>
  <si>
    <t>国联安商品ETF</t>
    <phoneticPr fontId="10" type="noConversion"/>
  </si>
  <si>
    <t>华夏消费ETF</t>
    <phoneticPr fontId="10" type="noConversion"/>
  </si>
  <si>
    <t>华夏材料ETF</t>
    <phoneticPr fontId="10" type="noConversion"/>
  </si>
  <si>
    <t>金融ETF</t>
    <phoneticPr fontId="10" type="noConversion"/>
  </si>
  <si>
    <t>国泰国证房地产行业指数分级B</t>
    <phoneticPr fontId="10" type="noConversion"/>
  </si>
  <si>
    <t>申万菱信深证成指分级</t>
    <phoneticPr fontId="10" type="noConversion"/>
  </si>
  <si>
    <t>申万菱信深证成指分级收益</t>
    <phoneticPr fontId="10" type="noConversion"/>
  </si>
  <si>
    <t>申万菱信深证成指分级进取</t>
    <phoneticPr fontId="10" type="noConversion"/>
  </si>
  <si>
    <t>瑞福分级</t>
    <phoneticPr fontId="10" type="noConversion"/>
  </si>
  <si>
    <t>瑞福优先</t>
    <phoneticPr fontId="10" type="noConversion"/>
  </si>
  <si>
    <t>华安中国A股增强指数</t>
    <phoneticPr fontId="10" type="noConversion"/>
  </si>
  <si>
    <t>广发小盘成长股票(LOF)</t>
    <phoneticPr fontId="10" type="noConversion"/>
  </si>
  <si>
    <t>嘉实全球房地产(QDII)</t>
    <phoneticPr fontId="10" type="noConversion"/>
  </si>
  <si>
    <t>南方安心保本混合</t>
    <phoneticPr fontId="10" type="noConversion"/>
  </si>
  <si>
    <t>sh510170</t>
    <phoneticPr fontId="10" type="noConversion"/>
  </si>
  <si>
    <t>深证成指</t>
    <phoneticPr fontId="10" type="noConversion"/>
  </si>
  <si>
    <t>沪深300</t>
    <phoneticPr fontId="10" type="noConversion"/>
  </si>
  <si>
    <t>深证100R</t>
    <phoneticPr fontId="10" type="noConversion"/>
  </si>
  <si>
    <t>中小板指</t>
    <phoneticPr fontId="10" type="noConversion"/>
  </si>
  <si>
    <t>创业板指</t>
    <phoneticPr fontId="10" type="noConversion"/>
  </si>
  <si>
    <t>中证转债</t>
    <phoneticPr fontId="10" type="noConversion"/>
  </si>
  <si>
    <t>能源行业</t>
    <phoneticPr fontId="10" type="noConversion"/>
  </si>
  <si>
    <t>商品ETF</t>
    <phoneticPr fontId="10" type="noConversion"/>
  </si>
  <si>
    <t>50ETF</t>
    <phoneticPr fontId="10" type="noConversion"/>
  </si>
  <si>
    <t>消费行业</t>
    <phoneticPr fontId="10" type="noConversion"/>
  </si>
  <si>
    <t>中国平安</t>
    <phoneticPr fontId="10" type="noConversion"/>
  </si>
  <si>
    <t>宁波海运</t>
    <phoneticPr fontId="10" type="noConversion"/>
  </si>
  <si>
    <t>长江电力</t>
    <phoneticPr fontId="10" type="noConversion"/>
  </si>
  <si>
    <t>中国建筑</t>
    <phoneticPr fontId="10" type="noConversion"/>
  </si>
  <si>
    <t>银华鑫瑞</t>
    <phoneticPr fontId="10" type="noConversion"/>
  </si>
  <si>
    <t>资源B</t>
    <phoneticPr fontId="10" type="noConversion"/>
  </si>
  <si>
    <t>双禧B</t>
    <phoneticPr fontId="10" type="noConversion"/>
  </si>
  <si>
    <t>信诚300B</t>
    <phoneticPr fontId="10" type="noConversion"/>
  </si>
  <si>
    <t>信诚500B</t>
    <phoneticPr fontId="10" type="noConversion"/>
  </si>
  <si>
    <t>申万进取</t>
    <phoneticPr fontId="10" type="noConversion"/>
  </si>
  <si>
    <t>银华鑫利</t>
    <phoneticPr fontId="10" type="noConversion"/>
  </si>
  <si>
    <t>中小板B</t>
    <phoneticPr fontId="10" type="noConversion"/>
  </si>
  <si>
    <t>医药B</t>
    <phoneticPr fontId="10" type="noConversion"/>
  </si>
  <si>
    <t>商品B</t>
    <phoneticPr fontId="10" type="noConversion"/>
  </si>
  <si>
    <t>建信50B</t>
    <phoneticPr fontId="10" type="noConversion"/>
  </si>
  <si>
    <t>银华稳进</t>
    <phoneticPr fontId="10" type="noConversion"/>
  </si>
  <si>
    <t>资源A</t>
    <phoneticPr fontId="10" type="noConversion"/>
  </si>
  <si>
    <t>信诚500A</t>
    <phoneticPr fontId="10" type="noConversion"/>
  </si>
  <si>
    <t>申万收益</t>
    <phoneticPr fontId="10" type="noConversion"/>
  </si>
  <si>
    <t>银华金瑞</t>
    <phoneticPr fontId="10" type="noConversion"/>
  </si>
  <si>
    <t>双禧A</t>
    <phoneticPr fontId="10" type="noConversion"/>
  </si>
  <si>
    <t>房地产A</t>
    <phoneticPr fontId="10" type="noConversion"/>
  </si>
  <si>
    <t>医药A</t>
    <phoneticPr fontId="10" type="noConversion"/>
  </si>
  <si>
    <t>12中富01</t>
    <phoneticPr fontId="10" type="noConversion"/>
  </si>
  <si>
    <t>基金普惠</t>
    <phoneticPr fontId="10" type="noConversion"/>
  </si>
  <si>
    <t>基金同益</t>
    <phoneticPr fontId="10" type="noConversion"/>
  </si>
  <si>
    <t>基金景宏</t>
    <phoneticPr fontId="10" type="noConversion"/>
  </si>
  <si>
    <t>基金裕隆</t>
    <phoneticPr fontId="10" type="noConversion"/>
  </si>
  <si>
    <t>基金普丰</t>
    <phoneticPr fontId="10" type="noConversion"/>
  </si>
  <si>
    <t>基金天元</t>
    <phoneticPr fontId="10" type="noConversion"/>
  </si>
  <si>
    <t>基金同盛</t>
    <phoneticPr fontId="10" type="noConversion"/>
  </si>
  <si>
    <t>基金丰和</t>
    <phoneticPr fontId="10" type="noConversion"/>
  </si>
  <si>
    <t>基金久嘉</t>
    <phoneticPr fontId="10" type="noConversion"/>
  </si>
  <si>
    <t>基金泰和</t>
    <phoneticPr fontId="10" type="noConversion"/>
  </si>
  <si>
    <t>基金汉盛</t>
    <phoneticPr fontId="10" type="noConversion"/>
  </si>
  <si>
    <t>基金安顺</t>
    <phoneticPr fontId="10" type="noConversion"/>
  </si>
  <si>
    <t>基金金鑫</t>
    <phoneticPr fontId="10" type="noConversion"/>
  </si>
  <si>
    <t>基金汉兴</t>
    <phoneticPr fontId="10" type="noConversion"/>
  </si>
  <si>
    <t>基金兴和</t>
    <phoneticPr fontId="10" type="noConversion"/>
  </si>
  <si>
    <t>基金通乾</t>
    <phoneticPr fontId="10" type="noConversion"/>
  </si>
  <si>
    <t>基金科瑞</t>
    <phoneticPr fontId="10" type="noConversion"/>
  </si>
  <si>
    <t>基金银丰</t>
    <phoneticPr fontId="10" type="noConversion"/>
  </si>
  <si>
    <t>GC001</t>
    <phoneticPr fontId="10" type="noConversion"/>
  </si>
  <si>
    <t>Ｒ-001</t>
    <phoneticPr fontId="10" type="noConversion"/>
  </si>
  <si>
    <t>南山转债</t>
    <phoneticPr fontId="10" type="noConversion"/>
  </si>
  <si>
    <t>博汇转债</t>
    <phoneticPr fontId="10" type="noConversion"/>
  </si>
  <si>
    <t>泰尔转债</t>
    <phoneticPr fontId="10" type="noConversion"/>
  </si>
  <si>
    <t>海运转债</t>
    <phoneticPr fontId="10" type="noConversion"/>
  </si>
  <si>
    <t>海直转债</t>
    <phoneticPr fontId="10" type="noConversion"/>
  </si>
  <si>
    <t>中鼎转债</t>
    <phoneticPr fontId="10" type="noConversion"/>
  </si>
  <si>
    <t>川投转债</t>
    <phoneticPr fontId="10" type="noConversion"/>
  </si>
  <si>
    <t>同仁转债</t>
    <phoneticPr fontId="10" type="noConversion"/>
  </si>
  <si>
    <t>错误的代码，略过</t>
    <phoneticPr fontId="10" type="noConversion"/>
  </si>
  <si>
    <t>sh999999</t>
    <phoneticPr fontId="10" type="noConversion"/>
  </si>
  <si>
    <t>不改动</t>
    <phoneticPr fontId="10" type="noConversion"/>
  </si>
  <si>
    <t>华夏上证50ETF</t>
    <phoneticPr fontId="10" type="noConversion"/>
  </si>
  <si>
    <t>国泰上证5年期国债ETF</t>
    <phoneticPr fontId="10" type="noConversion"/>
  </si>
  <si>
    <t>博时上证企债30ETF</t>
    <phoneticPr fontId="10" type="noConversion"/>
  </si>
  <si>
    <t>国泰黄金ETF</t>
    <phoneticPr fontId="10" type="noConversion"/>
  </si>
  <si>
    <t>金融ETF</t>
    <phoneticPr fontId="10" type="noConversion"/>
  </si>
  <si>
    <t>银华锐进</t>
    <phoneticPr fontId="10" type="noConversion"/>
  </si>
  <si>
    <t>银华中证转债指数增强分级B</t>
    <phoneticPr fontId="10" type="noConversion"/>
  </si>
  <si>
    <t>瑞福进取</t>
    <phoneticPr fontId="10" type="noConversion"/>
  </si>
  <si>
    <t>中银中国混合(LOF)</t>
    <phoneticPr fontId="10" type="noConversion"/>
  </si>
  <si>
    <t>南方润元C</t>
    <phoneticPr fontId="10" type="noConversion"/>
  </si>
  <si>
    <t>华侨城Ａ</t>
    <phoneticPr fontId="10" type="noConversion"/>
  </si>
  <si>
    <t>贵州茅台</t>
    <phoneticPr fontId="10" type="noConversion"/>
  </si>
  <si>
    <t>银华锐进</t>
    <phoneticPr fontId="10" type="noConversion"/>
  </si>
  <si>
    <t>双禧B</t>
    <phoneticPr fontId="10" type="noConversion"/>
  </si>
  <si>
    <t>房地产B</t>
    <phoneticPr fontId="10" type="noConversion"/>
  </si>
  <si>
    <t>信诚300A</t>
    <phoneticPr fontId="10" type="noConversion"/>
  </si>
  <si>
    <t>ST湘鄂债</t>
    <phoneticPr fontId="10" type="noConversion"/>
  </si>
  <si>
    <t>基金景福</t>
    <phoneticPr fontId="10" type="noConversion"/>
  </si>
  <si>
    <t>基金鸿阳</t>
    <phoneticPr fontId="10" type="noConversion"/>
  </si>
  <si>
    <t>Ｒ-001</t>
    <phoneticPr fontId="10" type="noConversion"/>
  </si>
  <si>
    <t>中海转债</t>
    <phoneticPr fontId="10" type="noConversion"/>
  </si>
  <si>
    <t>深机转债</t>
    <phoneticPr fontId="10" type="noConversion"/>
  </si>
  <si>
    <t>石化转债</t>
    <phoneticPr fontId="10" type="noConversion"/>
  </si>
  <si>
    <t>歌华转债</t>
    <phoneticPr fontId="10" type="noConversion"/>
  </si>
  <si>
    <t>国电转债</t>
    <phoneticPr fontId="10" type="noConversion"/>
  </si>
  <si>
    <t>民生转债</t>
    <phoneticPr fontId="10" type="noConversion"/>
  </si>
  <si>
    <t>华天转债</t>
    <phoneticPr fontId="10" type="noConversion"/>
  </si>
  <si>
    <t>燕京转债</t>
    <phoneticPr fontId="10" type="noConversion"/>
  </si>
  <si>
    <t>工行转债</t>
    <phoneticPr fontId="10" type="noConversion"/>
  </si>
  <si>
    <t>东华转债</t>
    <phoneticPr fontId="10" type="noConversion"/>
  </si>
  <si>
    <t>中行转债</t>
    <phoneticPr fontId="10" type="noConversion"/>
  </si>
  <si>
    <t>恒丰转债</t>
    <phoneticPr fontId="10" type="noConversion"/>
  </si>
  <si>
    <t>停牌</t>
    <phoneticPr fontId="10" type="noConversion"/>
  </si>
  <si>
    <t>重工转债</t>
    <phoneticPr fontId="10" type="noConversion"/>
  </si>
  <si>
    <t>上证指数</t>
    <phoneticPr fontId="10" type="noConversion"/>
  </si>
  <si>
    <t>锐01暂停</t>
    <phoneticPr fontId="10" type="noConversion"/>
  </si>
  <si>
    <t>*不要有空白行和错误代码</t>
    <phoneticPr fontId="10" type="noConversion"/>
  </si>
  <si>
    <t>*恒生指数的代码是hkHSI</t>
    <phoneticPr fontId="10" type="noConversion"/>
  </si>
  <si>
    <t>*港股代码前缀是hk</t>
    <phoneticPr fontId="10" type="noConversion"/>
  </si>
  <si>
    <t>*沪市代码前缀是sh</t>
    <phoneticPr fontId="10" type="noConversion"/>
  </si>
  <si>
    <t>*深市代码前缀是sz</t>
    <phoneticPr fontId="10" type="noConversion"/>
  </si>
  <si>
    <t>*采用腾讯的接口</t>
    <phoneticPr fontId="10" type="noConversion"/>
  </si>
  <si>
    <t>hkHSI</t>
    <phoneticPr fontId="10" type="noConversion"/>
  </si>
  <si>
    <t>恒生指数</t>
    <phoneticPr fontId="10" type="noConversion"/>
  </si>
  <si>
    <t>hk02727</t>
    <phoneticPr fontId="10" type="noConversion"/>
  </si>
  <si>
    <t>hk00297</t>
    <phoneticPr fontId="10" type="noConversion"/>
  </si>
  <si>
    <t>hk00165</t>
    <phoneticPr fontId="10" type="noConversion"/>
  </si>
  <si>
    <t>上海电气</t>
    <phoneticPr fontId="10" type="noConversion"/>
  </si>
  <si>
    <t>中化化肥</t>
    <phoneticPr fontId="10" type="noConversion"/>
  </si>
  <si>
    <t>中国光大控股</t>
    <phoneticPr fontId="10" type="noConversion"/>
  </si>
  <si>
    <t>银华稳进</t>
    <phoneticPr fontId="10" type="noConversion"/>
  </si>
  <si>
    <t>上证指数</t>
    <phoneticPr fontId="10" type="noConversion"/>
  </si>
  <si>
    <t>沪深300</t>
    <phoneticPr fontId="10" type="noConversion"/>
  </si>
  <si>
    <t>创业板指</t>
    <phoneticPr fontId="10" type="noConversion"/>
  </si>
  <si>
    <t>商品ETF</t>
    <phoneticPr fontId="10" type="noConversion"/>
  </si>
  <si>
    <t>金融ETF</t>
    <phoneticPr fontId="10" type="noConversion"/>
  </si>
  <si>
    <t>50ETF</t>
    <phoneticPr fontId="10" type="noConversion"/>
  </si>
  <si>
    <t>华侨城Ａ</t>
    <phoneticPr fontId="10" type="noConversion"/>
  </si>
  <si>
    <t>宁波海运</t>
    <phoneticPr fontId="10" type="noConversion"/>
  </si>
  <si>
    <t>长江电力</t>
    <phoneticPr fontId="10" type="noConversion"/>
  </si>
  <si>
    <t>中国建筑</t>
    <phoneticPr fontId="10" type="noConversion"/>
  </si>
  <si>
    <t>贵州茅台</t>
    <phoneticPr fontId="10" type="noConversion"/>
  </si>
  <si>
    <t>资源B</t>
    <phoneticPr fontId="10" type="noConversion"/>
  </si>
  <si>
    <t>商品B</t>
    <phoneticPr fontId="10" type="noConversion"/>
  </si>
  <si>
    <t>建信50B</t>
    <phoneticPr fontId="10" type="noConversion"/>
  </si>
  <si>
    <t>信诚300A</t>
    <phoneticPr fontId="10" type="noConversion"/>
  </si>
  <si>
    <t>房地产A</t>
    <phoneticPr fontId="10" type="noConversion"/>
  </si>
  <si>
    <t>医药A</t>
    <phoneticPr fontId="10" type="noConversion"/>
  </si>
  <si>
    <t>12中富01</t>
    <phoneticPr fontId="10" type="noConversion"/>
  </si>
  <si>
    <t>ST湘鄂债</t>
    <phoneticPr fontId="10" type="noConversion"/>
  </si>
  <si>
    <t>基金丰和</t>
    <phoneticPr fontId="10" type="noConversion"/>
  </si>
  <si>
    <t>基金久嘉</t>
    <phoneticPr fontId="10" type="noConversion"/>
  </si>
  <si>
    <t>基金通乾</t>
    <phoneticPr fontId="10" type="noConversion"/>
  </si>
  <si>
    <t>基金科瑞</t>
    <phoneticPr fontId="10" type="noConversion"/>
  </si>
  <si>
    <t>基金银丰</t>
    <phoneticPr fontId="10" type="noConversion"/>
  </si>
  <si>
    <t>GC001</t>
    <phoneticPr fontId="10" type="noConversion"/>
  </si>
  <si>
    <t>工行转债</t>
    <phoneticPr fontId="10" type="noConversion"/>
  </si>
  <si>
    <t>东华转债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</si>
</sst>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76" formatCode="0.0000000000_ "/>
    <numFmt numFmtId="177" formatCode="0.000_);[Red]\(0.000\)"/>
    <numFmt numFmtId="178" formatCode="0.00_);[Red]\(0.00\)"/>
    <numFmt numFmtId="179" formatCode="0_);[Red]\(0\)"/>
    <numFmt numFmtId="180" formatCode="0.000"/>
    <numFmt numFmtId="181" formatCode="[$-F400]h:mm:ss\ AM/PM"/>
  </numFmts>
  <fonts count="15" x14ac:knownFonts="1"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  <font>
      <sz val="9"/>
      <color rgb="FF008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8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</borders>
  <cellStyleXfs count="7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5" applyNumberFormat="1" applyFont="1" applyBorder="1" applyAlignment="1">
      <alignment horizontal="center" vertical="center" wrapText="1"/>
    </xf>
    <xf numFmtId="0" fontId="4" fillId="0" borderId="2" xfId="5" applyNumberFormat="1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2" fontId="3" fillId="0" borderId="6" xfId="0" applyNumberFormat="1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4" fillId="0" borderId="5" xfId="0" applyFont="1" applyBorder="1">
      <alignment vertical="center"/>
    </xf>
    <xf numFmtId="43" fontId="3" fillId="0" borderId="6" xfId="1" applyFont="1" applyBorder="1">
      <alignment vertical="center"/>
    </xf>
    <xf numFmtId="0" fontId="4" fillId="0" borderId="7" xfId="0" applyFont="1" applyBorder="1">
      <alignment vertical="center"/>
    </xf>
    <xf numFmtId="0" fontId="5" fillId="0" borderId="0" xfId="0" applyFont="1">
      <alignment vertical="center"/>
    </xf>
    <xf numFmtId="0" fontId="4" fillId="0" borderId="9" xfId="5" applyNumberFormat="1" applyFont="1" applyBorder="1" applyAlignment="1">
      <alignment horizontal="center" vertical="center" wrapText="1"/>
    </xf>
    <xf numFmtId="0" fontId="4" fillId="0" borderId="9" xfId="5" applyNumberFormat="1" applyFont="1" applyBorder="1" applyAlignment="1">
      <alignment horizontal="center" vertical="center"/>
    </xf>
    <xf numFmtId="0" fontId="6" fillId="0" borderId="9" xfId="5" applyNumberFormat="1" applyFont="1" applyBorder="1" applyAlignment="1">
      <alignment horizontal="center" vertical="center" wrapText="1"/>
    </xf>
    <xf numFmtId="0" fontId="3" fillId="0" borderId="0" xfId="0" applyFont="1" applyBorder="1">
      <alignment vertical="center"/>
    </xf>
    <xf numFmtId="14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0" fontId="7" fillId="0" borderId="0" xfId="0" applyFont="1">
      <alignment vertical="center"/>
    </xf>
    <xf numFmtId="177" fontId="3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7" fontId="4" fillId="0" borderId="9" xfId="5" applyNumberFormat="1" applyFont="1" applyBorder="1" applyAlignment="1">
      <alignment horizontal="center" vertical="center"/>
    </xf>
    <xf numFmtId="179" fontId="6" fillId="0" borderId="9" xfId="5" applyNumberFormat="1" applyFont="1" applyBorder="1" applyAlignment="1">
      <alignment horizontal="center" vertical="center" wrapText="1"/>
    </xf>
    <xf numFmtId="0" fontId="3" fillId="0" borderId="10" xfId="5" applyNumberFormat="1" applyFont="1" applyFill="1" applyBorder="1">
      <alignment vertical="center"/>
    </xf>
    <xf numFmtId="0" fontId="3" fillId="0" borderId="10" xfId="0" applyFont="1" applyBorder="1">
      <alignment vertical="center"/>
    </xf>
    <xf numFmtId="0" fontId="7" fillId="0" borderId="10" xfId="0" applyFont="1" applyBorder="1">
      <alignment vertical="center"/>
    </xf>
    <xf numFmtId="10" fontId="3" fillId="0" borderId="10" xfId="0" applyNumberFormat="1" applyFont="1" applyBorder="1">
      <alignment vertical="center"/>
    </xf>
    <xf numFmtId="0" fontId="3" fillId="0" borderId="0" xfId="5" applyNumberFormat="1" applyFont="1" applyFill="1" applyBorder="1">
      <alignment vertical="center"/>
    </xf>
    <xf numFmtId="0" fontId="7" fillId="0" borderId="0" xfId="0" applyFont="1" applyBorder="1">
      <alignment vertical="center"/>
    </xf>
    <xf numFmtId="0" fontId="3" fillId="0" borderId="11" xfId="5" applyNumberFormat="1" applyFont="1" applyFill="1" applyBorder="1">
      <alignment vertical="center"/>
    </xf>
    <xf numFmtId="0" fontId="3" fillId="0" borderId="12" xfId="0" applyFont="1" applyBorder="1">
      <alignment vertical="center"/>
    </xf>
    <xf numFmtId="180" fontId="7" fillId="0" borderId="12" xfId="0" applyNumberFormat="1" applyFont="1" applyBorder="1">
      <alignment vertical="center"/>
    </xf>
    <xf numFmtId="10" fontId="3" fillId="0" borderId="12" xfId="0" applyNumberFormat="1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2" xfId="5" applyNumberFormat="1" applyFont="1" applyFill="1" applyBorder="1">
      <alignment vertical="center"/>
    </xf>
    <xf numFmtId="0" fontId="3" fillId="0" borderId="15" xfId="0" applyFont="1" applyBorder="1">
      <alignment vertical="center"/>
    </xf>
    <xf numFmtId="180" fontId="7" fillId="0" borderId="15" xfId="0" applyNumberFormat="1" applyFont="1" applyBorder="1">
      <alignment vertical="center"/>
    </xf>
    <xf numFmtId="10" fontId="3" fillId="0" borderId="15" xfId="0" applyNumberFormat="1" applyFont="1" applyBorder="1">
      <alignment vertical="center"/>
    </xf>
    <xf numFmtId="180" fontId="7" fillId="0" borderId="11" xfId="0" applyNumberFormat="1" applyFont="1" applyBorder="1">
      <alignment vertical="center"/>
    </xf>
    <xf numFmtId="180" fontId="7" fillId="0" borderId="0" xfId="0" applyNumberFormat="1" applyFont="1" applyBorder="1">
      <alignment vertical="center"/>
    </xf>
    <xf numFmtId="10" fontId="3" fillId="0" borderId="0" xfId="0" applyNumberFormat="1" applyFont="1" applyBorder="1">
      <alignment vertical="center"/>
    </xf>
    <xf numFmtId="181" fontId="6" fillId="0" borderId="9" xfId="5" applyNumberFormat="1" applyFont="1" applyBorder="1" applyAlignment="1">
      <alignment horizontal="center" vertical="center" wrapText="1"/>
    </xf>
    <xf numFmtId="21" fontId="3" fillId="0" borderId="10" xfId="0" applyNumberFormat="1" applyFont="1" applyBorder="1">
      <alignment vertical="center"/>
    </xf>
    <xf numFmtId="21" fontId="3" fillId="0" borderId="12" xfId="0" applyNumberFormat="1" applyFont="1" applyBorder="1">
      <alignment vertical="center"/>
    </xf>
    <xf numFmtId="0" fontId="3" fillId="0" borderId="0" xfId="0" applyFont="1" applyBorder="1">
      <alignment vertical="center"/>
    </xf>
    <xf numFmtId="21" fontId="3" fillId="0" borderId="15" xfId="0" applyNumberFormat="1" applyFont="1" applyBorder="1">
      <alignment vertical="center"/>
    </xf>
    <xf numFmtId="21" fontId="3" fillId="0" borderId="0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21" fontId="3" fillId="0" borderId="0" xfId="0" applyNumberFormat="1" applyFont="1">
      <alignment vertical="center"/>
    </xf>
    <xf numFmtId="0" fontId="3" fillId="0" borderId="11" xfId="0" applyFont="1" applyBorder="1">
      <alignment vertical="center"/>
    </xf>
    <xf numFmtId="0" fontId="7" fillId="0" borderId="11" xfId="0" applyFont="1" applyBorder="1">
      <alignment vertical="center"/>
    </xf>
    <xf numFmtId="10" fontId="3" fillId="0" borderId="11" xfId="0" applyNumberFormat="1" applyFont="1" applyBorder="1">
      <alignment vertical="center"/>
    </xf>
    <xf numFmtId="21" fontId="3" fillId="0" borderId="11" xfId="0" applyNumberFormat="1" applyFont="1" applyBorder="1">
      <alignment vertical="center"/>
    </xf>
    <xf numFmtId="10" fontId="11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0" fontId="13" fillId="0" borderId="0" xfId="0" applyFont="1" applyAlignment="1">
      <alignment vertical="center" wrapText="1"/>
    </xf>
    <xf numFmtId="177" fontId="12" fillId="0" borderId="10" xfId="0" applyNumberFormat="1" applyFont="1" applyBorder="1">
      <alignment vertical="center"/>
    </xf>
    <xf numFmtId="177" fontId="11" fillId="0" borderId="10" xfId="0" applyNumberFormat="1" applyFont="1" applyBorder="1">
      <alignment vertical="center"/>
    </xf>
    <xf numFmtId="10" fontId="11" fillId="0" borderId="0" xfId="0" applyNumberFormat="1" applyFont="1" applyBorder="1">
      <alignment vertical="center"/>
    </xf>
    <xf numFmtId="177" fontId="12" fillId="0" borderId="0" xfId="0" applyNumberFormat="1" applyFont="1" applyBorder="1">
      <alignment vertical="center"/>
    </xf>
    <xf numFmtId="177" fontId="11" fillId="0" borderId="0" xfId="0" applyNumberFormat="1" applyFont="1" applyBorder="1">
      <alignment vertical="center"/>
    </xf>
    <xf numFmtId="10" fontId="12" fillId="0" borderId="0" xfId="0" applyNumberFormat="1" applyFont="1" applyBorder="1">
      <alignment vertical="center"/>
    </xf>
    <xf numFmtId="10" fontId="12" fillId="0" borderId="11" xfId="0" applyNumberFormat="1" applyFont="1" applyBorder="1">
      <alignment vertical="center"/>
    </xf>
    <xf numFmtId="177" fontId="12" fillId="0" borderId="11" xfId="0" applyNumberFormat="1" applyFont="1" applyBorder="1">
      <alignment vertical="center"/>
    </xf>
    <xf numFmtId="177" fontId="11" fillId="0" borderId="11" xfId="0" applyNumberFormat="1" applyFont="1" applyBorder="1">
      <alignment vertical="center"/>
    </xf>
    <xf numFmtId="10" fontId="11" fillId="0" borderId="12" xfId="0" applyNumberFormat="1" applyFont="1" applyBorder="1">
      <alignment vertical="center"/>
    </xf>
    <xf numFmtId="177" fontId="11" fillId="0" borderId="12" xfId="0" applyNumberFormat="1" applyFont="1" applyBorder="1">
      <alignment vertical="center"/>
    </xf>
    <xf numFmtId="10" fontId="11" fillId="0" borderId="11" xfId="0" applyNumberFormat="1" applyFont="1" applyBorder="1">
      <alignment vertical="center"/>
    </xf>
    <xf numFmtId="178" fontId="12" fillId="0" borderId="12" xfId="0" applyNumberFormat="1" applyFont="1" applyBorder="1">
      <alignment vertical="center"/>
    </xf>
    <xf numFmtId="178" fontId="11" fillId="0" borderId="12" xfId="0" applyNumberFormat="1" applyFont="1" applyBorder="1">
      <alignment vertical="center"/>
    </xf>
    <xf numFmtId="178" fontId="12" fillId="0" borderId="0" xfId="0" applyNumberFormat="1" applyFont="1" applyBorder="1">
      <alignment vertical="center"/>
    </xf>
    <xf numFmtId="178" fontId="11" fillId="0" borderId="0" xfId="0" applyNumberFormat="1" applyFont="1" applyBorder="1">
      <alignment vertical="center"/>
    </xf>
    <xf numFmtId="177" fontId="12" fillId="0" borderId="15" xfId="0" applyNumberFormat="1" applyFont="1" applyBorder="1">
      <alignment vertical="center"/>
    </xf>
    <xf numFmtId="177" fontId="11" fillId="0" borderId="15" xfId="0" applyNumberFormat="1" applyFont="1" applyBorder="1">
      <alignment vertical="center"/>
    </xf>
    <xf numFmtId="10" fontId="12" fillId="0" borderId="12" xfId="0" applyNumberFormat="1" applyFont="1" applyBorder="1">
      <alignment vertical="center"/>
    </xf>
    <xf numFmtId="177" fontId="12" fillId="0" borderId="12" xfId="0" applyNumberFormat="1" applyFont="1" applyBorder="1">
      <alignment vertical="center"/>
    </xf>
    <xf numFmtId="10" fontId="11" fillId="0" borderId="15" xfId="0" applyNumberFormat="1" applyFont="1" applyBorder="1">
      <alignment vertical="center"/>
    </xf>
    <xf numFmtId="10" fontId="13" fillId="0" borderId="0" xfId="0" applyNumberFormat="1" applyFont="1" applyBorder="1">
      <alignment vertical="center"/>
    </xf>
    <xf numFmtId="10" fontId="13" fillId="0" borderId="12" xfId="0" applyNumberFormat="1" applyFont="1" applyBorder="1">
      <alignment vertical="center"/>
    </xf>
    <xf numFmtId="177" fontId="13" fillId="0" borderId="0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77" fontId="12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7" fontId="11" fillId="0" borderId="0" xfId="0" applyNumberFormat="1" applyFont="1">
      <alignment vertical="center"/>
    </xf>
    <xf numFmtId="177" fontId="13" fillId="0" borderId="0" xfId="0" applyNumberFormat="1" applyFont="1">
      <alignment vertical="center"/>
    </xf>
    <xf numFmtId="178" fontId="11" fillId="0" borderId="11" xfId="0" applyNumberFormat="1" applyFont="1" applyBorder="1">
      <alignment vertical="center"/>
    </xf>
    <xf numFmtId="178" fontId="12" fillId="0" borderId="0" xfId="0" applyNumberFormat="1" applyFont="1">
      <alignment vertical="center"/>
    </xf>
    <xf numFmtId="10" fontId="13" fillId="0" borderId="11" xfId="0" applyNumberFormat="1" applyFont="1" applyBorder="1">
      <alignment vertical="center"/>
    </xf>
    <xf numFmtId="0" fontId="3" fillId="0" borderId="15" xfId="5" applyNumberFormat="1" applyFont="1" applyFill="1" applyBorder="1">
      <alignment vertical="center"/>
    </xf>
    <xf numFmtId="0" fontId="7" fillId="0" borderId="15" xfId="0" applyFont="1" applyBorder="1">
      <alignment vertical="center"/>
    </xf>
    <xf numFmtId="10" fontId="12" fillId="0" borderId="15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0" fontId="14" fillId="0" borderId="15" xfId="5" applyNumberFormat="1" applyFont="1" applyFill="1" applyBorder="1">
      <alignment vertical="center"/>
    </xf>
    <xf numFmtId="10" fontId="11" fillId="0" borderId="10" xfId="0" applyNumberFormat="1" applyFont="1" applyBorder="1">
      <alignment vertical="center"/>
    </xf>
  </cellXfs>
  <cellStyles count="7">
    <cellStyle name="常规" xfId="0" builtinId="0"/>
    <cellStyle name="常规 2" xfId="3"/>
    <cellStyle name="常规 2 2" xfId="4"/>
    <cellStyle name="常规 3" xfId="2"/>
    <cellStyle name="常规 4" xfId="5"/>
    <cellStyle name="常规 5" xfId="6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8</xdr:row>
          <xdr:rowOff>28575</xdr:rowOff>
        </xdr:from>
        <xdr:to>
          <xdr:col>9</xdr:col>
          <xdr:colOff>133350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更新行情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12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2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</xdr:row>
          <xdr:rowOff>123825</xdr:rowOff>
        </xdr:from>
        <xdr:to>
          <xdr:col>8</xdr:col>
          <xdr:colOff>409575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2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更新净值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3</xdr:row>
          <xdr:rowOff>133350</xdr:rowOff>
        </xdr:from>
        <xdr:to>
          <xdr:col>5</xdr:col>
          <xdr:colOff>381000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2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贵金属价格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-0.249977111117893"/>
  </sheetPr>
  <dimension ref="A1:F47"/>
  <sheetViews>
    <sheetView tabSelected="1" workbookViewId="0">
      <selection activeCell="F25" sqref="F25"/>
    </sheetView>
  </sheetViews>
  <sheetFormatPr defaultRowHeight="14.25" x14ac:dyDescent="0.15"/>
  <cols>
    <col min="1" max="1" width="8.375" style="1" customWidth="1"/>
    <col min="2" max="2" width="10.5" style="1" bestFit="1" customWidth="1"/>
    <col min="3" max="3" width="8.5" style="21" customWidth="1"/>
    <col min="4" max="4" width="7.625" style="1" bestFit="1" customWidth="1"/>
  </cols>
  <sheetData>
    <row r="1" spans="1:6" ht="15" thickBot="1" x14ac:dyDescent="0.2">
      <c r="A1" s="15" t="s">
        <v>0</v>
      </c>
      <c r="B1" s="16" t="s">
        <v>1</v>
      </c>
      <c r="C1" s="17" t="s">
        <v>2</v>
      </c>
      <c r="D1" s="16" t="s">
        <v>3</v>
      </c>
      <c r="F1" t="s">
        <v>248</v>
      </c>
    </row>
    <row r="2" spans="1:6" x14ac:dyDescent="0.15">
      <c r="A2" s="26" t="s">
        <v>9</v>
      </c>
      <c r="B2" s="27" t="s">
        <v>263</v>
      </c>
      <c r="C2" s="28">
        <v>2675.46</v>
      </c>
      <c r="D2" s="99">
        <v>-1.8E-3</v>
      </c>
      <c r="F2" t="s">
        <v>249</v>
      </c>
    </row>
    <row r="3" spans="1:6" x14ac:dyDescent="0.15">
      <c r="A3" s="30" t="s">
        <v>10</v>
      </c>
      <c r="B3" s="48" t="s">
        <v>147</v>
      </c>
      <c r="C3" s="31">
        <v>9076.93</v>
      </c>
      <c r="D3" s="63">
        <v>-2.0999999999999999E-3</v>
      </c>
      <c r="F3" t="s">
        <v>250</v>
      </c>
    </row>
    <row r="4" spans="1:6" x14ac:dyDescent="0.15">
      <c r="A4" s="30" t="s">
        <v>11</v>
      </c>
      <c r="B4" s="48" t="s">
        <v>264</v>
      </c>
      <c r="C4" s="31">
        <v>2817.65</v>
      </c>
      <c r="D4" s="63">
        <v>-8.0000000000000004E-4</v>
      </c>
      <c r="F4" t="s">
        <v>251</v>
      </c>
    </row>
    <row r="5" spans="1:6" x14ac:dyDescent="0.15">
      <c r="A5" s="30" t="s">
        <v>254</v>
      </c>
      <c r="B5" s="48" t="s">
        <v>255</v>
      </c>
      <c r="C5" s="31">
        <v>23367.45</v>
      </c>
      <c r="D5" s="82">
        <v>0</v>
      </c>
      <c r="F5" t="s">
        <v>252</v>
      </c>
    </row>
    <row r="6" spans="1:6" x14ac:dyDescent="0.15">
      <c r="A6" s="30" t="s">
        <v>13</v>
      </c>
      <c r="B6" s="48" t="s">
        <v>150</v>
      </c>
      <c r="C6" s="31">
        <v>5570.35</v>
      </c>
      <c r="D6" s="66">
        <v>2.8999999999999998E-3</v>
      </c>
      <c r="F6" t="s">
        <v>253</v>
      </c>
    </row>
    <row r="7" spans="1:6" x14ac:dyDescent="0.15">
      <c r="A7" s="30" t="s">
        <v>14</v>
      </c>
      <c r="B7" s="48" t="s">
        <v>265</v>
      </c>
      <c r="C7" s="31">
        <v>1560.38</v>
      </c>
      <c r="D7" s="66">
        <v>5.1999999999999998E-3</v>
      </c>
    </row>
    <row r="8" spans="1:6" x14ac:dyDescent="0.15">
      <c r="A8" s="32" t="s">
        <v>15</v>
      </c>
      <c r="B8" s="53" t="s">
        <v>152</v>
      </c>
      <c r="C8" s="54">
        <v>347.86</v>
      </c>
      <c r="D8" s="67">
        <v>2.0000000000000001E-4</v>
      </c>
    </row>
    <row r="9" spans="1:6" x14ac:dyDescent="0.15">
      <c r="A9" s="36" t="s">
        <v>18</v>
      </c>
      <c r="B9" s="48" t="s">
        <v>153</v>
      </c>
      <c r="C9" s="43">
        <v>0.85199999999999998</v>
      </c>
      <c r="D9" s="63">
        <v>-3.4999999999999996E-3</v>
      </c>
    </row>
    <row r="10" spans="1:6" x14ac:dyDescent="0.15">
      <c r="A10" s="36" t="s">
        <v>146</v>
      </c>
      <c r="B10" s="48" t="s">
        <v>266</v>
      </c>
      <c r="C10" s="43">
        <v>1.694</v>
      </c>
      <c r="D10" s="66">
        <v>1.1299999999999999E-2</v>
      </c>
    </row>
    <row r="11" spans="1:6" x14ac:dyDescent="0.15">
      <c r="A11" s="36" t="s">
        <v>20</v>
      </c>
      <c r="B11" s="48" t="s">
        <v>267</v>
      </c>
      <c r="C11" s="43">
        <v>4.2060000000000004</v>
      </c>
      <c r="D11" s="63">
        <v>-2.3999999999999998E-3</v>
      </c>
    </row>
    <row r="12" spans="1:6" x14ac:dyDescent="0.15">
      <c r="A12" s="36" t="s">
        <v>21</v>
      </c>
      <c r="B12" s="48" t="s">
        <v>268</v>
      </c>
      <c r="C12" s="43">
        <v>1.9139999999999999</v>
      </c>
      <c r="D12" s="63">
        <v>-2.0999999999999999E-3</v>
      </c>
    </row>
    <row r="13" spans="1:6" x14ac:dyDescent="0.15">
      <c r="A13" s="37" t="s">
        <v>22</v>
      </c>
      <c r="B13" s="53" t="s">
        <v>156</v>
      </c>
      <c r="C13" s="42">
        <v>1.153</v>
      </c>
      <c r="D13" s="72">
        <v>-2.5999999999999999E-3</v>
      </c>
    </row>
    <row r="14" spans="1:6" x14ac:dyDescent="0.15">
      <c r="A14" s="39" t="s">
        <v>256</v>
      </c>
      <c r="B14" s="39" t="s">
        <v>259</v>
      </c>
      <c r="C14" s="40">
        <v>4.46</v>
      </c>
      <c r="D14" s="96">
        <v>6.7720090293454938E-3</v>
      </c>
    </row>
    <row r="15" spans="1:6" x14ac:dyDescent="0.15">
      <c r="A15" s="39" t="s">
        <v>257</v>
      </c>
      <c r="B15" s="39" t="s">
        <v>260</v>
      </c>
      <c r="C15" s="40">
        <v>1.29</v>
      </c>
      <c r="D15" s="96">
        <v>2.3809523809523725E-2</v>
      </c>
    </row>
    <row r="16" spans="1:6" x14ac:dyDescent="0.15">
      <c r="A16" s="39" t="s">
        <v>258</v>
      </c>
      <c r="B16" s="39" t="s">
        <v>261</v>
      </c>
      <c r="C16" s="40">
        <v>17.46</v>
      </c>
      <c r="D16" s="81">
        <v>-2.2857142857142243E-3</v>
      </c>
    </row>
    <row r="17" spans="1:4" x14ac:dyDescent="0.15">
      <c r="A17" s="38" t="s">
        <v>23</v>
      </c>
      <c r="B17" s="33" t="s">
        <v>157</v>
      </c>
      <c r="C17" s="34">
        <v>51.45</v>
      </c>
      <c r="D17" s="79">
        <v>1.38E-2</v>
      </c>
    </row>
    <row r="18" spans="1:4" x14ac:dyDescent="0.15">
      <c r="A18" s="30" t="s">
        <v>24</v>
      </c>
      <c r="B18" s="48" t="s">
        <v>269</v>
      </c>
      <c r="C18" s="43">
        <v>6.18</v>
      </c>
      <c r="D18" s="63">
        <v>-6.4000000000000003E-3</v>
      </c>
    </row>
    <row r="19" spans="1:4" x14ac:dyDescent="0.15">
      <c r="A19" s="30" t="s">
        <v>25</v>
      </c>
      <c r="B19" s="48" t="s">
        <v>270</v>
      </c>
      <c r="C19" s="43">
        <v>5.09</v>
      </c>
      <c r="D19" s="63">
        <v>-2.3E-2</v>
      </c>
    </row>
    <row r="20" spans="1:4" x14ac:dyDescent="0.15">
      <c r="A20" s="30" t="s">
        <v>26</v>
      </c>
      <c r="B20" s="48" t="s">
        <v>271</v>
      </c>
      <c r="C20" s="43">
        <v>8.81</v>
      </c>
      <c r="D20" s="63">
        <v>-1.01E-2</v>
      </c>
    </row>
    <row r="21" spans="1:4" x14ac:dyDescent="0.15">
      <c r="A21" s="39" t="s">
        <v>27</v>
      </c>
      <c r="B21" s="39" t="s">
        <v>272</v>
      </c>
      <c r="C21" s="40">
        <v>4.24</v>
      </c>
      <c r="D21" s="96">
        <v>4.6999999999999993E-3</v>
      </c>
    </row>
    <row r="22" spans="1:4" x14ac:dyDescent="0.15">
      <c r="A22" s="53" t="s">
        <v>28</v>
      </c>
      <c r="B22" s="53" t="s">
        <v>273</v>
      </c>
      <c r="C22" s="42">
        <v>158.38999999999999</v>
      </c>
      <c r="D22" s="72">
        <v>-1.04E-2</v>
      </c>
    </row>
    <row r="23" spans="1:4" x14ac:dyDescent="0.15">
      <c r="A23" s="39" t="s">
        <v>29</v>
      </c>
      <c r="B23" s="33" t="s">
        <v>217</v>
      </c>
      <c r="C23" s="34">
        <v>0.626</v>
      </c>
      <c r="D23" s="79">
        <v>4.7999999999999996E-3</v>
      </c>
    </row>
    <row r="24" spans="1:4" x14ac:dyDescent="0.15">
      <c r="A24" s="39" t="s">
        <v>30</v>
      </c>
      <c r="B24" s="48" t="s">
        <v>161</v>
      </c>
      <c r="C24" s="43">
        <v>1.3220000000000001</v>
      </c>
      <c r="D24" s="66">
        <v>5.3E-3</v>
      </c>
    </row>
    <row r="25" spans="1:4" x14ac:dyDescent="0.15">
      <c r="A25" s="39" t="s">
        <v>31</v>
      </c>
      <c r="B25" s="48" t="s">
        <v>274</v>
      </c>
      <c r="C25" s="43">
        <v>1.5249999999999999</v>
      </c>
      <c r="D25" s="63">
        <v>-2.87E-2</v>
      </c>
    </row>
    <row r="26" spans="1:4" x14ac:dyDescent="0.15">
      <c r="A26" s="39" t="s">
        <v>32</v>
      </c>
      <c r="B26" s="48" t="s">
        <v>163</v>
      </c>
      <c r="C26" s="43">
        <v>1.2250000000000001</v>
      </c>
      <c r="D26" s="63">
        <v>-1.7600000000000001E-2</v>
      </c>
    </row>
    <row r="27" spans="1:4" x14ac:dyDescent="0.15">
      <c r="A27" s="39" t="s">
        <v>40</v>
      </c>
      <c r="B27" s="48" t="s">
        <v>275</v>
      </c>
      <c r="C27" s="43">
        <v>0.76500000000000001</v>
      </c>
      <c r="D27" s="66">
        <v>2.41E-2</v>
      </c>
    </row>
    <row r="28" spans="1:4" x14ac:dyDescent="0.15">
      <c r="A28" s="53" t="s">
        <v>41</v>
      </c>
      <c r="B28" s="53" t="s">
        <v>276</v>
      </c>
      <c r="C28" s="42">
        <v>0.98099999999999998</v>
      </c>
      <c r="D28" s="72">
        <v>-4.0999999999999995E-3</v>
      </c>
    </row>
    <row r="29" spans="1:4" x14ac:dyDescent="0.15">
      <c r="A29" s="39" t="s">
        <v>42</v>
      </c>
      <c r="B29" s="33" t="s">
        <v>262</v>
      </c>
      <c r="C29" s="34">
        <v>0.97399999999999998</v>
      </c>
      <c r="D29" s="83">
        <v>0</v>
      </c>
    </row>
    <row r="30" spans="1:4" x14ac:dyDescent="0.15">
      <c r="A30" s="39" t="s">
        <v>43</v>
      </c>
      <c r="B30" s="48" t="s">
        <v>173</v>
      </c>
      <c r="C30" s="43">
        <v>0.90900000000000003</v>
      </c>
      <c r="D30" s="63">
        <v>-6.6E-3</v>
      </c>
    </row>
    <row r="31" spans="1:4" x14ac:dyDescent="0.15">
      <c r="A31" s="48" t="s">
        <v>44</v>
      </c>
      <c r="B31" s="48" t="s">
        <v>277</v>
      </c>
      <c r="C31" s="43">
        <v>0.92900000000000005</v>
      </c>
      <c r="D31" s="63">
        <v>-2.0999999999999999E-3</v>
      </c>
    </row>
    <row r="32" spans="1:4" x14ac:dyDescent="0.15">
      <c r="A32" s="48" t="s">
        <v>49</v>
      </c>
      <c r="B32" s="48" t="s">
        <v>278</v>
      </c>
      <c r="C32" s="43">
        <v>1.0629999999999999</v>
      </c>
      <c r="D32" s="63">
        <v>-7.4999999999999997E-3</v>
      </c>
    </row>
    <row r="33" spans="1:4" x14ac:dyDescent="0.15">
      <c r="A33" s="53" t="s">
        <v>50</v>
      </c>
      <c r="B33" s="53" t="s">
        <v>279</v>
      </c>
      <c r="C33" s="42">
        <v>1.0640000000000001</v>
      </c>
      <c r="D33" s="72">
        <v>-4.6999999999999993E-3</v>
      </c>
    </row>
    <row r="34" spans="1:4" x14ac:dyDescent="0.15">
      <c r="A34" s="33" t="s">
        <v>54</v>
      </c>
      <c r="B34" s="33" t="s">
        <v>247</v>
      </c>
      <c r="C34" s="34">
        <v>0</v>
      </c>
      <c r="D34" s="83">
        <v>0</v>
      </c>
    </row>
    <row r="35" spans="1:4" x14ac:dyDescent="0.15">
      <c r="A35" s="48" t="s">
        <v>55</v>
      </c>
      <c r="B35" s="48" t="s">
        <v>280</v>
      </c>
      <c r="C35" s="43">
        <v>0</v>
      </c>
      <c r="D35" s="82">
        <v>0</v>
      </c>
    </row>
    <row r="36" spans="1:4" x14ac:dyDescent="0.15">
      <c r="A36" s="53" t="s">
        <v>56</v>
      </c>
      <c r="B36" s="53" t="s">
        <v>281</v>
      </c>
      <c r="C36" s="42">
        <v>0</v>
      </c>
      <c r="D36" s="93">
        <v>0</v>
      </c>
    </row>
    <row r="37" spans="1:4" x14ac:dyDescent="0.15">
      <c r="A37" s="1" t="s">
        <v>64</v>
      </c>
      <c r="B37" s="1" t="s">
        <v>229</v>
      </c>
      <c r="C37" s="21">
        <v>1.034</v>
      </c>
      <c r="D37" s="57">
        <v>-2.8999999999999998E-3</v>
      </c>
    </row>
    <row r="38" spans="1:4" x14ac:dyDescent="0.15">
      <c r="A38" s="1" t="s">
        <v>65</v>
      </c>
      <c r="B38" s="1" t="s">
        <v>282</v>
      </c>
      <c r="C38" s="21">
        <v>0.98699999999999999</v>
      </c>
      <c r="D38" s="57">
        <v>-2E-3</v>
      </c>
    </row>
    <row r="39" spans="1:4" x14ac:dyDescent="0.15">
      <c r="A39" s="1" t="s">
        <v>66</v>
      </c>
      <c r="B39" s="1" t="s">
        <v>283</v>
      </c>
      <c r="C39" s="21">
        <v>0.84099999999999997</v>
      </c>
      <c r="D39" s="58">
        <v>2.3999999999999998E-3</v>
      </c>
    </row>
    <row r="40" spans="1:4" x14ac:dyDescent="0.15">
      <c r="A40" s="1" t="s">
        <v>74</v>
      </c>
      <c r="B40" s="1" t="s">
        <v>284</v>
      </c>
      <c r="C40" s="21">
        <v>1.1850000000000001</v>
      </c>
      <c r="D40" s="57">
        <v>-6.7000000000000002E-3</v>
      </c>
    </row>
    <row r="41" spans="1:4" x14ac:dyDescent="0.15">
      <c r="A41" s="1" t="s">
        <v>75</v>
      </c>
      <c r="B41" s="1" t="s">
        <v>285</v>
      </c>
      <c r="C41" s="21">
        <v>1.07</v>
      </c>
      <c r="D41" s="57">
        <v>-4.6999999999999993E-3</v>
      </c>
    </row>
    <row r="42" spans="1:4" x14ac:dyDescent="0.15">
      <c r="A42" s="53" t="s">
        <v>76</v>
      </c>
      <c r="B42" s="53" t="s">
        <v>286</v>
      </c>
      <c r="C42" s="54">
        <v>0.93300000000000005</v>
      </c>
      <c r="D42" s="72">
        <v>-4.3E-3</v>
      </c>
    </row>
    <row r="43" spans="1:4" x14ac:dyDescent="0.15">
      <c r="A43" s="1" t="s">
        <v>77</v>
      </c>
      <c r="B43" s="1" t="s">
        <v>287</v>
      </c>
      <c r="C43" s="21">
        <v>4.93</v>
      </c>
      <c r="D43" s="57">
        <v>-1.7899999999999999E-2</v>
      </c>
    </row>
    <row r="44" spans="1:4" x14ac:dyDescent="0.15">
      <c r="A44" s="1" t="s">
        <v>78</v>
      </c>
      <c r="B44" s="1" t="s">
        <v>200</v>
      </c>
      <c r="C44" s="21">
        <v>3.75</v>
      </c>
      <c r="D44" s="58">
        <v>2.7370999999999999</v>
      </c>
    </row>
    <row r="45" spans="1:4" x14ac:dyDescent="0.15">
      <c r="A45" s="1" t="s">
        <v>51</v>
      </c>
      <c r="B45" s="1" t="s">
        <v>204</v>
      </c>
      <c r="C45" s="21">
        <v>124.86</v>
      </c>
      <c r="D45" s="57">
        <v>-6.0999999999999995E-3</v>
      </c>
    </row>
    <row r="46" spans="1:4" x14ac:dyDescent="0.15">
      <c r="A46" s="1" t="s">
        <v>123</v>
      </c>
      <c r="B46" s="1" t="s">
        <v>288</v>
      </c>
      <c r="C46" s="21">
        <v>123.32</v>
      </c>
      <c r="D46" s="57">
        <v>-1.9E-3</v>
      </c>
    </row>
    <row r="47" spans="1:4" x14ac:dyDescent="0.15">
      <c r="A47" s="1" t="s">
        <v>124</v>
      </c>
      <c r="B47" s="1" t="s">
        <v>289</v>
      </c>
      <c r="C47" s="21">
        <v>149.97999999999999</v>
      </c>
      <c r="D47" s="58">
        <v>9.300000000000001E-3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获取股票指数HK">
                <anchor moveWithCells="1" sizeWithCells="1">
                  <from>
                    <xdr:col>6</xdr:col>
                    <xdr:colOff>342900</xdr:colOff>
                    <xdr:row>8</xdr:row>
                    <xdr:rowOff>28575</xdr:rowOff>
                  </from>
                  <to>
                    <xdr:col>9</xdr:col>
                    <xdr:colOff>133350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0"/>
  </sheetPr>
  <dimension ref="A1:L95"/>
  <sheetViews>
    <sheetView workbookViewId="0">
      <selection activeCell="F19" sqref="F19"/>
    </sheetView>
  </sheetViews>
  <sheetFormatPr defaultColWidth="9" defaultRowHeight="14.25" x14ac:dyDescent="0.15"/>
  <cols>
    <col min="1" max="1" width="8.375" style="1" customWidth="1"/>
    <col min="2" max="2" width="8.125" style="1" customWidth="1"/>
    <col min="3" max="3" width="8.5" style="21" customWidth="1"/>
    <col min="4" max="5" width="7.625" style="1" bestFit="1" customWidth="1"/>
    <col min="6" max="6" width="8.5" style="22" customWidth="1"/>
    <col min="7" max="7" width="8.5" style="23" customWidth="1"/>
    <col min="8" max="8" width="8.5" style="1" customWidth="1"/>
    <col min="9" max="9" width="7.5" style="1" customWidth="1"/>
    <col min="10" max="10" width="5.75" style="1" customWidth="1"/>
    <col min="11" max="11" width="7.5" style="1" customWidth="1"/>
    <col min="12" max="12" width="6.75" style="1" customWidth="1"/>
    <col min="13" max="13" width="5.75" style="1" customWidth="1"/>
    <col min="14" max="16384" width="9" style="1"/>
  </cols>
  <sheetData>
    <row r="1" spans="1:12" x14ac:dyDescent="0.15">
      <c r="A1" s="15" t="s">
        <v>0</v>
      </c>
      <c r="B1" s="16" t="s">
        <v>1</v>
      </c>
      <c r="C1" s="17" t="s">
        <v>2</v>
      </c>
      <c r="D1" s="16" t="s">
        <v>3</v>
      </c>
      <c r="E1" s="16" t="s">
        <v>4</v>
      </c>
      <c r="F1" s="24" t="s">
        <v>5</v>
      </c>
      <c r="G1" s="16" t="s">
        <v>6</v>
      </c>
      <c r="H1" s="25" t="s">
        <v>7</v>
      </c>
      <c r="I1" s="45" t="s">
        <v>8</v>
      </c>
    </row>
    <row r="2" spans="1:12" x14ac:dyDescent="0.15">
      <c r="A2" s="26" t="s">
        <v>9</v>
      </c>
      <c r="B2" s="27" t="s">
        <v>246</v>
      </c>
      <c r="C2" s="28">
        <v>2680.1550000000002</v>
      </c>
      <c r="D2" s="99">
        <v>-1E-3</v>
      </c>
      <c r="E2" s="29">
        <v>1.9300000000000001E-2</v>
      </c>
      <c r="F2" s="61">
        <v>2720.7429999999999</v>
      </c>
      <c r="G2" s="62">
        <v>2668.8409999999999</v>
      </c>
      <c r="H2" s="27">
        <v>40112018</v>
      </c>
      <c r="I2" s="46">
        <v>0.62714120370370374</v>
      </c>
    </row>
    <row r="3" spans="1:12" x14ac:dyDescent="0.15">
      <c r="A3" s="30" t="s">
        <v>10</v>
      </c>
      <c r="B3" s="48" t="s">
        <v>147</v>
      </c>
      <c r="C3" s="31">
        <v>9095.7569999999996</v>
      </c>
      <c r="D3" s="66">
        <v>1.04E-2</v>
      </c>
      <c r="E3" s="44">
        <v>1.6899999999999998E-2</v>
      </c>
      <c r="F3" s="64">
        <v>9180.64</v>
      </c>
      <c r="G3" s="64">
        <v>9028.8340000000007</v>
      </c>
      <c r="H3" s="48">
        <v>28974388</v>
      </c>
      <c r="I3" s="50">
        <v>0.62906249999999997</v>
      </c>
    </row>
    <row r="4" spans="1:12" x14ac:dyDescent="0.15">
      <c r="A4" s="30" t="s">
        <v>11</v>
      </c>
      <c r="B4" s="48" t="s">
        <v>148</v>
      </c>
      <c r="C4" s="31">
        <v>2819.8119999999999</v>
      </c>
      <c r="D4" s="66">
        <v>3.8999999999999998E-3</v>
      </c>
      <c r="E4" s="44">
        <v>1.66E-2</v>
      </c>
      <c r="F4" s="64">
        <v>2855.3319999999999</v>
      </c>
      <c r="G4" s="65">
        <v>2808.6529999999998</v>
      </c>
      <c r="H4" s="48">
        <v>33883308</v>
      </c>
      <c r="I4" s="50">
        <v>0.62714120370370374</v>
      </c>
    </row>
    <row r="5" spans="1:12" x14ac:dyDescent="0.15">
      <c r="A5" s="30" t="s">
        <v>12</v>
      </c>
      <c r="B5" s="48" t="s">
        <v>149</v>
      </c>
      <c r="C5" s="31">
        <v>3671.3389999999999</v>
      </c>
      <c r="D5" s="66">
        <v>5.0000000000000001E-3</v>
      </c>
      <c r="E5" s="44">
        <v>1.41E-2</v>
      </c>
      <c r="F5" s="64">
        <v>3701.0149999999999</v>
      </c>
      <c r="G5" s="65">
        <v>3649.5369999999998</v>
      </c>
      <c r="H5" s="48">
        <v>8641117</v>
      </c>
      <c r="I5" s="50">
        <v>0.62906249999999997</v>
      </c>
    </row>
    <row r="6" spans="1:12" x14ac:dyDescent="0.15">
      <c r="A6" s="30" t="s">
        <v>13</v>
      </c>
      <c r="B6" s="48" t="s">
        <v>150</v>
      </c>
      <c r="C6" s="31">
        <v>5554.36</v>
      </c>
      <c r="D6" s="63">
        <v>-5.8999999999999999E-3</v>
      </c>
      <c r="E6" s="44">
        <v>1.09E-2</v>
      </c>
      <c r="F6" s="65">
        <v>5578.683</v>
      </c>
      <c r="G6" s="65">
        <v>5517.5950000000003</v>
      </c>
      <c r="H6" s="48">
        <v>3338756</v>
      </c>
      <c r="I6" s="50">
        <v>0.62906249999999997</v>
      </c>
      <c r="J6" s="48"/>
    </row>
    <row r="7" spans="1:12" x14ac:dyDescent="0.15">
      <c r="A7" s="30" t="s">
        <v>14</v>
      </c>
      <c r="B7" s="48" t="s">
        <v>151</v>
      </c>
      <c r="C7" s="31">
        <v>1552.306</v>
      </c>
      <c r="D7" s="63">
        <v>-1.18E-2</v>
      </c>
      <c r="E7" s="44">
        <v>1.6199999999999999E-2</v>
      </c>
      <c r="F7" s="65">
        <v>1569.65</v>
      </c>
      <c r="G7" s="65">
        <v>1544.184</v>
      </c>
      <c r="H7" s="48">
        <v>1965364</v>
      </c>
      <c r="I7" s="50">
        <v>0.62906249999999997</v>
      </c>
      <c r="J7" s="48"/>
    </row>
    <row r="8" spans="1:12" x14ac:dyDescent="0.15">
      <c r="A8" s="32" t="s">
        <v>15</v>
      </c>
      <c r="B8" s="53" t="s">
        <v>152</v>
      </c>
      <c r="C8" s="54">
        <v>347.78300000000002</v>
      </c>
      <c r="D8" s="72">
        <v>-3.7000000000000002E-3</v>
      </c>
      <c r="E8" s="55">
        <v>2.7799999999999998E-2</v>
      </c>
      <c r="F8" s="68">
        <v>355.55399999999997</v>
      </c>
      <c r="G8" s="69">
        <v>345.839</v>
      </c>
      <c r="H8" s="53">
        <v>933165</v>
      </c>
      <c r="I8" s="56">
        <v>0.62714120370370374</v>
      </c>
      <c r="J8" s="48"/>
    </row>
    <row r="9" spans="1:12" ht="24.75" x14ac:dyDescent="0.15">
      <c r="A9" s="98" t="s">
        <v>128</v>
      </c>
      <c r="B9" s="39"/>
      <c r="C9" s="95"/>
      <c r="D9" s="96"/>
      <c r="E9" s="41"/>
      <c r="F9" s="77"/>
      <c r="G9" s="78"/>
      <c r="H9" s="39"/>
      <c r="I9" s="49"/>
      <c r="J9" s="39"/>
    </row>
    <row r="10" spans="1:12" x14ac:dyDescent="0.15">
      <c r="A10" s="94"/>
      <c r="B10" s="39"/>
      <c r="C10" s="95"/>
      <c r="D10" s="96"/>
      <c r="E10" s="41"/>
      <c r="F10" s="77"/>
      <c r="G10" s="78"/>
      <c r="H10" s="39"/>
      <c r="I10" s="49"/>
      <c r="J10" s="39"/>
    </row>
    <row r="11" spans="1:12" ht="24.75" x14ac:dyDescent="0.15">
      <c r="A11" s="98" t="s">
        <v>209</v>
      </c>
      <c r="B11" s="33"/>
      <c r="C11" s="34"/>
      <c r="D11" s="70"/>
      <c r="E11" s="35"/>
      <c r="F11" s="71"/>
      <c r="G11" s="71"/>
      <c r="H11" s="33"/>
      <c r="I11" s="47"/>
      <c r="L11" s="48"/>
    </row>
    <row r="12" spans="1:12" x14ac:dyDescent="0.15">
      <c r="A12" s="36" t="s">
        <v>210</v>
      </c>
      <c r="B12" s="48"/>
      <c r="C12" s="43"/>
      <c r="D12" s="66"/>
      <c r="E12" s="44"/>
      <c r="F12" s="64"/>
      <c r="G12" s="65"/>
      <c r="H12" s="48"/>
      <c r="I12" s="50" t="s">
        <v>211</v>
      </c>
      <c r="L12" s="48"/>
    </row>
    <row r="13" spans="1:12" x14ac:dyDescent="0.15">
      <c r="A13" s="36" t="s">
        <v>18</v>
      </c>
      <c r="B13" s="48" t="s">
        <v>153</v>
      </c>
      <c r="C13" s="43">
        <v>0.85499999999999998</v>
      </c>
      <c r="D13" s="66">
        <v>1.9099999999999999E-2</v>
      </c>
      <c r="E13" s="44">
        <v>4.65E-2</v>
      </c>
      <c r="F13" s="64">
        <v>0.874</v>
      </c>
      <c r="G13" s="65">
        <v>0.83499999999999996</v>
      </c>
      <c r="H13" s="48">
        <v>3995</v>
      </c>
      <c r="I13" s="50">
        <v>0.62714120370370374</v>
      </c>
      <c r="L13" s="48"/>
    </row>
    <row r="14" spans="1:12" x14ac:dyDescent="0.15">
      <c r="A14" s="36" t="s">
        <v>146</v>
      </c>
      <c r="B14" s="48" t="s">
        <v>154</v>
      </c>
      <c r="C14" s="43">
        <v>1.675</v>
      </c>
      <c r="D14" s="66">
        <v>1.3299999999999999E-2</v>
      </c>
      <c r="E14" s="44">
        <v>3.0200000000000001E-2</v>
      </c>
      <c r="F14" s="64">
        <v>1.7</v>
      </c>
      <c r="G14" s="65">
        <v>1.65</v>
      </c>
      <c r="H14" s="48">
        <v>1159</v>
      </c>
      <c r="I14" s="50">
        <v>0.62714120370370374</v>
      </c>
      <c r="L14" s="48"/>
    </row>
    <row r="15" spans="1:12" x14ac:dyDescent="0.15">
      <c r="A15" s="36" t="s">
        <v>20</v>
      </c>
      <c r="B15" s="48" t="s">
        <v>135</v>
      </c>
      <c r="C15" s="43">
        <v>4.2160000000000002</v>
      </c>
      <c r="D15" s="82">
        <v>0</v>
      </c>
      <c r="E15" s="44">
        <v>5.5300000000000002E-2</v>
      </c>
      <c r="F15" s="64">
        <v>4.4429999999999996</v>
      </c>
      <c r="G15" s="65">
        <v>4.21</v>
      </c>
      <c r="H15" s="48">
        <v>114167</v>
      </c>
      <c r="I15" s="50">
        <v>0.62714120370370374</v>
      </c>
      <c r="L15" s="48"/>
    </row>
    <row r="16" spans="1:12" x14ac:dyDescent="0.15">
      <c r="A16" s="36" t="s">
        <v>21</v>
      </c>
      <c r="B16" s="48" t="s">
        <v>155</v>
      </c>
      <c r="C16" s="43">
        <v>1.9179999999999999</v>
      </c>
      <c r="D16" s="66">
        <v>3.0999999999999999E-3</v>
      </c>
      <c r="E16" s="44">
        <v>2.5100000000000001E-2</v>
      </c>
      <c r="F16" s="64">
        <v>1.9630000000000001</v>
      </c>
      <c r="G16" s="64">
        <v>1.915</v>
      </c>
      <c r="H16" s="48">
        <v>189756</v>
      </c>
      <c r="I16" s="50">
        <v>0.62714120370370374</v>
      </c>
      <c r="L16" s="48"/>
    </row>
    <row r="17" spans="1:12" x14ac:dyDescent="0.15">
      <c r="A17" s="37" t="s">
        <v>22</v>
      </c>
      <c r="B17" s="53" t="s">
        <v>156</v>
      </c>
      <c r="C17" s="42">
        <v>1.1559999999999999</v>
      </c>
      <c r="D17" s="67">
        <v>1.9400000000000001E-2</v>
      </c>
      <c r="E17" s="55">
        <v>2.1999999999999999E-2</v>
      </c>
      <c r="F17" s="68">
        <v>1.157</v>
      </c>
      <c r="G17" s="69">
        <v>1.1319999999999999</v>
      </c>
      <c r="H17" s="53">
        <v>1910</v>
      </c>
      <c r="I17" s="56">
        <v>0.62714120370370374</v>
      </c>
      <c r="L17" s="48"/>
    </row>
    <row r="18" spans="1:12" x14ac:dyDescent="0.15">
      <c r="A18" s="39"/>
      <c r="B18" s="39"/>
      <c r="C18" s="40"/>
      <c r="D18" s="81"/>
      <c r="E18" s="41"/>
      <c r="F18" s="77"/>
      <c r="G18" s="78"/>
      <c r="H18" s="39"/>
      <c r="I18" s="49"/>
      <c r="L18" s="39"/>
    </row>
    <row r="19" spans="1:12" x14ac:dyDescent="0.15">
      <c r="A19" s="38" t="s">
        <v>23</v>
      </c>
      <c r="B19" s="33" t="s">
        <v>157</v>
      </c>
      <c r="C19" s="34">
        <v>50.75</v>
      </c>
      <c r="D19" s="79">
        <v>2.2599999999999999E-2</v>
      </c>
      <c r="E19" s="35">
        <v>6.5500000000000003E-2</v>
      </c>
      <c r="F19" s="73">
        <v>53.85</v>
      </c>
      <c r="G19" s="73">
        <v>50.6</v>
      </c>
      <c r="H19" s="33">
        <v>1237736</v>
      </c>
      <c r="I19" s="47">
        <v>0.62714120370370374</v>
      </c>
      <c r="L19" s="48"/>
    </row>
    <row r="20" spans="1:12" x14ac:dyDescent="0.15">
      <c r="A20" s="30" t="s">
        <v>24</v>
      </c>
      <c r="B20" s="48" t="s">
        <v>222</v>
      </c>
      <c r="C20" s="43">
        <v>6.22</v>
      </c>
      <c r="D20" s="63">
        <v>-2.6599999999999999E-2</v>
      </c>
      <c r="E20" s="44">
        <v>5.16E-2</v>
      </c>
      <c r="F20" s="75">
        <v>6.54</v>
      </c>
      <c r="G20" s="76">
        <v>6.21</v>
      </c>
      <c r="H20" s="48">
        <v>102542</v>
      </c>
      <c r="I20" s="50">
        <v>0.62906249999999997</v>
      </c>
      <c r="L20" s="48"/>
    </row>
    <row r="21" spans="1:12" x14ac:dyDescent="0.15">
      <c r="A21" s="30" t="s">
        <v>25</v>
      </c>
      <c r="B21" s="48" t="s">
        <v>158</v>
      </c>
      <c r="C21" s="43">
        <v>5.21</v>
      </c>
      <c r="D21" s="63">
        <v>-1.9E-3</v>
      </c>
      <c r="E21" s="44">
        <v>4.7899999999999998E-2</v>
      </c>
      <c r="F21" s="75">
        <v>5.38</v>
      </c>
      <c r="G21" s="76">
        <v>5.13</v>
      </c>
      <c r="H21" s="48">
        <v>15759</v>
      </c>
      <c r="I21" s="50">
        <v>0.62714120370370374</v>
      </c>
      <c r="L21" s="48"/>
    </row>
    <row r="22" spans="1:12" x14ac:dyDescent="0.15">
      <c r="A22" s="30" t="s">
        <v>26</v>
      </c>
      <c r="B22" s="48" t="s">
        <v>159</v>
      </c>
      <c r="C22" s="43">
        <v>8.9</v>
      </c>
      <c r="D22" s="66">
        <v>1.4800000000000001E-2</v>
      </c>
      <c r="E22" s="44">
        <v>2.7400000000000001E-2</v>
      </c>
      <c r="F22" s="75">
        <v>8.92</v>
      </c>
      <c r="G22" s="76">
        <v>8.68</v>
      </c>
      <c r="H22" s="48">
        <v>49950</v>
      </c>
      <c r="I22" s="50">
        <v>0.62714120370370374</v>
      </c>
      <c r="L22" s="48"/>
    </row>
    <row r="23" spans="1:12" x14ac:dyDescent="0.15">
      <c r="A23" s="39" t="s">
        <v>27</v>
      </c>
      <c r="B23" s="39" t="s">
        <v>160</v>
      </c>
      <c r="C23" s="40">
        <v>4.22</v>
      </c>
      <c r="D23" s="96">
        <v>9.5999999999999992E-3</v>
      </c>
      <c r="E23" s="41">
        <v>5.2600000000000001E-2</v>
      </c>
      <c r="F23" s="77">
        <v>4.43</v>
      </c>
      <c r="G23" s="77">
        <v>4.21</v>
      </c>
      <c r="H23" s="39">
        <v>380865</v>
      </c>
      <c r="I23" s="49">
        <v>0.62714120370370374</v>
      </c>
      <c r="L23" s="48"/>
    </row>
    <row r="24" spans="1:12" x14ac:dyDescent="0.15">
      <c r="A24" s="53" t="s">
        <v>28</v>
      </c>
      <c r="B24" s="53" t="s">
        <v>223</v>
      </c>
      <c r="C24" s="42">
        <v>160.06</v>
      </c>
      <c r="D24" s="67">
        <v>2.7099999999999999E-2</v>
      </c>
      <c r="E24" s="55">
        <v>3.2099999999999997E-2</v>
      </c>
      <c r="F24" s="68">
        <v>161</v>
      </c>
      <c r="G24" s="68">
        <v>156</v>
      </c>
      <c r="H24" s="53">
        <v>193284</v>
      </c>
      <c r="I24" s="56">
        <v>0.62714120370370374</v>
      </c>
      <c r="L24" s="48"/>
    </row>
    <row r="25" spans="1:12" x14ac:dyDescent="0.15">
      <c r="A25" s="39" t="s">
        <v>29</v>
      </c>
      <c r="B25" s="33" t="s">
        <v>224</v>
      </c>
      <c r="C25" s="34">
        <v>0.623</v>
      </c>
      <c r="D25" s="70">
        <v>-3.2599999999999997E-2</v>
      </c>
      <c r="E25" s="35">
        <v>5.5899999999999998E-2</v>
      </c>
      <c r="F25" s="80">
        <v>0.65800000000000003</v>
      </c>
      <c r="G25" s="71">
        <v>0.622</v>
      </c>
      <c r="H25" s="33">
        <v>106933</v>
      </c>
      <c r="I25" s="47">
        <v>0.62906249999999997</v>
      </c>
      <c r="L25" s="48"/>
    </row>
    <row r="26" spans="1:12" x14ac:dyDescent="0.15">
      <c r="A26" s="39" t="s">
        <v>30</v>
      </c>
      <c r="B26" s="48" t="s">
        <v>161</v>
      </c>
      <c r="C26" s="43">
        <v>1.3149999999999999</v>
      </c>
      <c r="D26" s="63">
        <v>-2.1600000000000001E-2</v>
      </c>
      <c r="E26" s="44">
        <v>9.2299999999999993E-2</v>
      </c>
      <c r="F26" s="64">
        <v>1.399</v>
      </c>
      <c r="G26" s="65">
        <v>1.2749999999999999</v>
      </c>
      <c r="H26" s="48">
        <v>2172</v>
      </c>
      <c r="I26" s="50">
        <v>0.62906249999999997</v>
      </c>
      <c r="L26" s="48"/>
    </row>
    <row r="27" spans="1:12" x14ac:dyDescent="0.15">
      <c r="A27" s="39" t="s">
        <v>31</v>
      </c>
      <c r="B27" s="48" t="s">
        <v>162</v>
      </c>
      <c r="C27" s="43">
        <v>1.57</v>
      </c>
      <c r="D27" s="63">
        <v>-4.8500000000000001E-2</v>
      </c>
      <c r="E27" s="44">
        <v>0.18479999999999999</v>
      </c>
      <c r="F27" s="64">
        <v>1.79</v>
      </c>
      <c r="G27" s="65">
        <v>1.4850000000000001</v>
      </c>
      <c r="H27" s="48">
        <v>35799</v>
      </c>
      <c r="I27" s="50">
        <v>0.62906249999999997</v>
      </c>
      <c r="L27" s="48"/>
    </row>
    <row r="28" spans="1:12" x14ac:dyDescent="0.15">
      <c r="A28" s="39" t="s">
        <v>32</v>
      </c>
      <c r="B28" s="48" t="s">
        <v>225</v>
      </c>
      <c r="C28" s="43">
        <v>1.2470000000000001</v>
      </c>
      <c r="D28" s="63">
        <v>-4.0000000000000001E-3</v>
      </c>
      <c r="E28" s="44">
        <v>9.5799999999999996E-2</v>
      </c>
      <c r="F28" s="64">
        <v>1.34</v>
      </c>
      <c r="G28" s="65">
        <v>1.22</v>
      </c>
      <c r="H28" s="48">
        <v>34574</v>
      </c>
      <c r="I28" s="50">
        <v>0.62906249999999997</v>
      </c>
      <c r="L28" s="48"/>
    </row>
    <row r="29" spans="1:12" x14ac:dyDescent="0.15">
      <c r="A29" s="39" t="s">
        <v>33</v>
      </c>
      <c r="B29" s="39" t="s">
        <v>164</v>
      </c>
      <c r="C29" s="40">
        <v>1.135</v>
      </c>
      <c r="D29" s="81">
        <v>-5.4199999999999998E-2</v>
      </c>
      <c r="E29" s="41">
        <v>8.6699999999999999E-2</v>
      </c>
      <c r="F29" s="77">
        <v>1.238</v>
      </c>
      <c r="G29" s="78">
        <v>1.1339999999999999</v>
      </c>
      <c r="H29" s="39">
        <v>11889</v>
      </c>
      <c r="I29" s="49">
        <v>0.62906249999999997</v>
      </c>
      <c r="L29" s="48"/>
    </row>
    <row r="30" spans="1:12" x14ac:dyDescent="0.15">
      <c r="A30" s="39" t="s">
        <v>34</v>
      </c>
      <c r="B30" s="48" t="s">
        <v>165</v>
      </c>
      <c r="C30" s="43">
        <v>0.99299999999999999</v>
      </c>
      <c r="D30" s="63">
        <v>-4.0599999999999997E-2</v>
      </c>
      <c r="E30" s="44">
        <v>4.6399999999999997E-2</v>
      </c>
      <c r="F30" s="65">
        <v>1.03</v>
      </c>
      <c r="G30" s="65">
        <v>0.98199999999999998</v>
      </c>
      <c r="H30" s="48">
        <v>8426</v>
      </c>
      <c r="I30" s="50">
        <v>0.62906249999999997</v>
      </c>
      <c r="L30" s="48"/>
    </row>
    <row r="31" spans="1:12" x14ac:dyDescent="0.15">
      <c r="A31" s="39" t="s">
        <v>35</v>
      </c>
      <c r="B31" s="48" t="s">
        <v>166</v>
      </c>
      <c r="C31" s="43">
        <v>0.45900000000000002</v>
      </c>
      <c r="D31" s="66">
        <v>2.23E-2</v>
      </c>
      <c r="E31" s="44">
        <v>7.5700000000000003E-2</v>
      </c>
      <c r="F31" s="64">
        <v>0.49199999999999999</v>
      </c>
      <c r="G31" s="64">
        <v>0.45800000000000002</v>
      </c>
      <c r="H31" s="48">
        <v>30450</v>
      </c>
      <c r="I31" s="50">
        <v>0.62906249999999997</v>
      </c>
      <c r="L31" s="48"/>
    </row>
    <row r="32" spans="1:12" x14ac:dyDescent="0.15">
      <c r="A32" s="39" t="s">
        <v>36</v>
      </c>
      <c r="B32" s="48" t="s">
        <v>226</v>
      </c>
      <c r="C32" s="43">
        <v>1.67</v>
      </c>
      <c r="D32" s="63">
        <v>-2.6800000000000001E-2</v>
      </c>
      <c r="E32" s="44">
        <v>0.1469</v>
      </c>
      <c r="F32" s="64">
        <v>1.8460000000000001</v>
      </c>
      <c r="G32" s="65">
        <v>1.5940000000000001</v>
      </c>
      <c r="H32" s="48">
        <v>35248</v>
      </c>
      <c r="I32" s="50">
        <v>0.62906249999999997</v>
      </c>
      <c r="L32" s="48"/>
    </row>
    <row r="33" spans="1:12" x14ac:dyDescent="0.15">
      <c r="A33" s="39" t="s">
        <v>37</v>
      </c>
      <c r="B33" s="48" t="s">
        <v>167</v>
      </c>
      <c r="C33" s="43">
        <v>1.218</v>
      </c>
      <c r="D33" s="63">
        <v>-3.1800000000000002E-2</v>
      </c>
      <c r="E33" s="44">
        <v>5.0900000000000001E-2</v>
      </c>
      <c r="F33" s="64">
        <v>1.274</v>
      </c>
      <c r="G33" s="65">
        <v>1.21</v>
      </c>
      <c r="H33" s="48">
        <v>5794</v>
      </c>
      <c r="I33" s="50">
        <v>0.62906249999999997</v>
      </c>
      <c r="L33" s="48"/>
    </row>
    <row r="34" spans="1:12" x14ac:dyDescent="0.15">
      <c r="A34" s="39" t="s">
        <v>38</v>
      </c>
      <c r="B34" s="48" t="s">
        <v>168</v>
      </c>
      <c r="C34" s="43">
        <v>1.204</v>
      </c>
      <c r="D34" s="63">
        <v>-2.8199999999999999E-2</v>
      </c>
      <c r="E34" s="44">
        <v>4.36E-2</v>
      </c>
      <c r="F34" s="65">
        <v>1.23</v>
      </c>
      <c r="G34" s="65">
        <v>1.1759999999999999</v>
      </c>
      <c r="H34" s="48">
        <v>4845</v>
      </c>
      <c r="I34" s="50">
        <v>0.62906249999999997</v>
      </c>
      <c r="L34" s="48"/>
    </row>
    <row r="35" spans="1:12" x14ac:dyDescent="0.15">
      <c r="A35" s="39" t="s">
        <v>39</v>
      </c>
      <c r="B35" s="48" t="s">
        <v>169</v>
      </c>
      <c r="C35" s="43">
        <v>1.276</v>
      </c>
      <c r="D35" s="66">
        <v>6.7799999999999999E-2</v>
      </c>
      <c r="E35" s="44">
        <v>0.1163</v>
      </c>
      <c r="F35" s="64">
        <v>1.2889999999999999</v>
      </c>
      <c r="G35" s="65">
        <v>1.1499999999999999</v>
      </c>
      <c r="H35" s="48">
        <v>62916</v>
      </c>
      <c r="I35" s="50">
        <v>0.62906249999999997</v>
      </c>
      <c r="L35" s="48"/>
    </row>
    <row r="36" spans="1:12" x14ac:dyDescent="0.15">
      <c r="A36" s="39" t="s">
        <v>40</v>
      </c>
      <c r="B36" s="48" t="s">
        <v>170</v>
      </c>
      <c r="C36" s="43">
        <v>0.747</v>
      </c>
      <c r="D36" s="63">
        <v>-4.48E-2</v>
      </c>
      <c r="E36" s="44">
        <v>0.1164</v>
      </c>
      <c r="F36" s="64">
        <v>0.80600000000000005</v>
      </c>
      <c r="G36" s="65">
        <v>0.71499999999999997</v>
      </c>
      <c r="H36" s="48">
        <v>17468</v>
      </c>
      <c r="I36" s="50">
        <v>0.62906249999999997</v>
      </c>
      <c r="L36" s="48"/>
    </row>
    <row r="37" spans="1:12" x14ac:dyDescent="0.15">
      <c r="A37" s="53" t="s">
        <v>41</v>
      </c>
      <c r="B37" s="53" t="s">
        <v>171</v>
      </c>
      <c r="C37" s="42">
        <v>0.98499999999999999</v>
      </c>
      <c r="D37" s="67">
        <v>1.55E-2</v>
      </c>
      <c r="E37" s="55">
        <v>5.57E-2</v>
      </c>
      <c r="F37" s="68">
        <v>1.022</v>
      </c>
      <c r="G37" s="69">
        <v>0.96799999999999997</v>
      </c>
      <c r="H37" s="53">
        <v>4417</v>
      </c>
      <c r="I37" s="56">
        <v>0.62906249999999997</v>
      </c>
      <c r="L37" s="48"/>
    </row>
    <row r="38" spans="1:12" x14ac:dyDescent="0.15">
      <c r="A38" s="39" t="s">
        <v>42</v>
      </c>
      <c r="B38" s="33" t="s">
        <v>172</v>
      </c>
      <c r="C38" s="34">
        <v>0.97399999999999998</v>
      </c>
      <c r="D38" s="79">
        <v>1.35E-2</v>
      </c>
      <c r="E38" s="35">
        <v>1.77E-2</v>
      </c>
      <c r="F38" s="80">
        <v>0.97399999999999998</v>
      </c>
      <c r="G38" s="71">
        <v>0.95699999999999996</v>
      </c>
      <c r="H38" s="33">
        <v>42256</v>
      </c>
      <c r="I38" s="47">
        <v>0.62906249999999997</v>
      </c>
      <c r="L38" s="48"/>
    </row>
    <row r="39" spans="1:12" x14ac:dyDescent="0.15">
      <c r="A39" s="39" t="s">
        <v>43</v>
      </c>
      <c r="B39" s="48" t="s">
        <v>173</v>
      </c>
      <c r="C39" s="43">
        <v>0.91500000000000004</v>
      </c>
      <c r="D39" s="66">
        <v>2.2000000000000001E-3</v>
      </c>
      <c r="E39" s="44">
        <v>1.8599999999999998E-2</v>
      </c>
      <c r="F39" s="64">
        <v>0.91500000000000004</v>
      </c>
      <c r="G39" s="65">
        <v>0.89800000000000002</v>
      </c>
      <c r="H39" s="48">
        <v>8442</v>
      </c>
      <c r="I39" s="50">
        <v>0.62906249999999997</v>
      </c>
      <c r="L39" s="48"/>
    </row>
    <row r="40" spans="1:12" x14ac:dyDescent="0.15">
      <c r="A40" s="48" t="s">
        <v>44</v>
      </c>
      <c r="B40" s="48" t="s">
        <v>227</v>
      </c>
      <c r="C40" s="43">
        <v>0.93100000000000005</v>
      </c>
      <c r="D40" s="66">
        <v>2.2000000000000001E-3</v>
      </c>
      <c r="E40" s="44">
        <v>8.6E-3</v>
      </c>
      <c r="F40" s="64">
        <v>0.93100000000000005</v>
      </c>
      <c r="G40" s="65">
        <v>0.92300000000000004</v>
      </c>
      <c r="H40" s="48">
        <v>1131</v>
      </c>
      <c r="I40" s="50">
        <v>0.62906249999999997</v>
      </c>
      <c r="L40" s="51"/>
    </row>
    <row r="41" spans="1:12" x14ac:dyDescent="0.15">
      <c r="A41" s="48" t="s">
        <v>45</v>
      </c>
      <c r="B41" s="48" t="s">
        <v>174</v>
      </c>
      <c r="C41" s="43">
        <v>1.03</v>
      </c>
      <c r="D41" s="63">
        <v>-1.06E-2</v>
      </c>
      <c r="E41" s="44">
        <v>1.15E-2</v>
      </c>
      <c r="F41" s="64">
        <v>1.042</v>
      </c>
      <c r="G41" s="65">
        <v>1.03</v>
      </c>
      <c r="H41" s="48">
        <v>104</v>
      </c>
      <c r="I41" s="50">
        <v>0.62906249999999997</v>
      </c>
      <c r="L41" s="48"/>
    </row>
    <row r="42" spans="1:12" x14ac:dyDescent="0.15">
      <c r="A42" s="48" t="s">
        <v>46</v>
      </c>
      <c r="B42" s="48" t="s">
        <v>175</v>
      </c>
      <c r="C42" s="43">
        <v>0.83099999999999996</v>
      </c>
      <c r="D42" s="66">
        <v>3.5999999999999999E-3</v>
      </c>
      <c r="E42" s="44">
        <v>1.4500000000000001E-2</v>
      </c>
      <c r="F42" s="64">
        <v>0.83799999999999997</v>
      </c>
      <c r="G42" s="65">
        <v>0.82599999999999996</v>
      </c>
      <c r="H42" s="48">
        <v>14072</v>
      </c>
      <c r="I42" s="50">
        <v>0.62906249999999997</v>
      </c>
      <c r="L42" s="48"/>
    </row>
    <row r="43" spans="1:12" x14ac:dyDescent="0.15">
      <c r="A43" s="39" t="s">
        <v>47</v>
      </c>
      <c r="B43" s="39" t="s">
        <v>176</v>
      </c>
      <c r="C43" s="40">
        <v>1.0009999999999999</v>
      </c>
      <c r="D43" s="81">
        <v>-6.8999999999999999E-3</v>
      </c>
      <c r="E43" s="41">
        <v>1.49E-2</v>
      </c>
      <c r="F43" s="77">
        <v>1.01</v>
      </c>
      <c r="G43" s="78">
        <v>0.995</v>
      </c>
      <c r="H43" s="39">
        <v>99</v>
      </c>
      <c r="I43" s="49">
        <v>0.62906249999999997</v>
      </c>
      <c r="L43" s="48"/>
    </row>
    <row r="44" spans="1:12" x14ac:dyDescent="0.15">
      <c r="A44" s="48" t="s">
        <v>48</v>
      </c>
      <c r="B44" s="48" t="s">
        <v>177</v>
      </c>
      <c r="C44" s="43">
        <v>1.0209999999999999</v>
      </c>
      <c r="D44" s="63">
        <v>-3.8999999999999998E-3</v>
      </c>
      <c r="E44" s="44">
        <v>2.4400000000000002E-2</v>
      </c>
      <c r="F44" s="64">
        <v>1.026</v>
      </c>
      <c r="G44" s="65">
        <v>1.0009999999999999</v>
      </c>
      <c r="H44" s="48">
        <v>1340</v>
      </c>
      <c r="I44" s="50">
        <v>0.62906249999999997</v>
      </c>
      <c r="L44" s="48"/>
    </row>
    <row r="45" spans="1:12" x14ac:dyDescent="0.15">
      <c r="A45" s="48" t="s">
        <v>49</v>
      </c>
      <c r="B45" s="48" t="s">
        <v>178</v>
      </c>
      <c r="C45" s="43">
        <v>1.071</v>
      </c>
      <c r="D45" s="63">
        <v>-8.9999999999999998E-4</v>
      </c>
      <c r="E45" s="44">
        <v>2.8899999999999999E-2</v>
      </c>
      <c r="F45" s="84">
        <v>1.0720000000000001</v>
      </c>
      <c r="G45" s="65">
        <v>1.0409999999999999</v>
      </c>
      <c r="H45" s="48">
        <v>5694</v>
      </c>
      <c r="I45" s="50">
        <v>0.62906249999999997</v>
      </c>
      <c r="L45" s="48"/>
    </row>
    <row r="46" spans="1:12" x14ac:dyDescent="0.15">
      <c r="A46" s="53" t="s">
        <v>50</v>
      </c>
      <c r="B46" s="53" t="s">
        <v>179</v>
      </c>
      <c r="C46" s="42">
        <v>1.069</v>
      </c>
      <c r="D46" s="93">
        <v>0</v>
      </c>
      <c r="E46" s="55">
        <v>1.5900000000000001E-2</v>
      </c>
      <c r="F46" s="68">
        <v>1.07</v>
      </c>
      <c r="G46" s="69">
        <v>1.0529999999999999</v>
      </c>
      <c r="H46" s="53">
        <v>7900</v>
      </c>
      <c r="I46" s="56">
        <v>0.62906249999999997</v>
      </c>
      <c r="L46" s="48"/>
    </row>
    <row r="47" spans="1:12" x14ac:dyDescent="0.15">
      <c r="A47" s="39"/>
      <c r="B47" s="39"/>
      <c r="C47" s="40"/>
      <c r="D47" s="81"/>
      <c r="E47" s="41"/>
      <c r="F47" s="78"/>
      <c r="G47" s="78"/>
      <c r="H47" s="39"/>
      <c r="I47" s="49"/>
      <c r="L47" s="39"/>
    </row>
    <row r="48" spans="1:12" x14ac:dyDescent="0.15">
      <c r="A48" s="33" t="s">
        <v>54</v>
      </c>
      <c r="B48" s="33" t="s">
        <v>247</v>
      </c>
      <c r="C48" s="34">
        <v>87.8</v>
      </c>
      <c r="D48" s="83">
        <v>0</v>
      </c>
      <c r="E48" s="35">
        <v>0</v>
      </c>
      <c r="F48" s="71">
        <v>0</v>
      </c>
      <c r="G48" s="74">
        <v>0</v>
      </c>
      <c r="H48" s="33">
        <v>0</v>
      </c>
      <c r="I48" s="47">
        <v>0.62714120370370374</v>
      </c>
      <c r="L48" s="48"/>
    </row>
    <row r="49" spans="1:12" x14ac:dyDescent="0.15">
      <c r="A49" s="48" t="s">
        <v>55</v>
      </c>
      <c r="B49" s="48" t="s">
        <v>180</v>
      </c>
      <c r="C49" s="43">
        <v>90.287999999999997</v>
      </c>
      <c r="D49" s="66">
        <v>4.3E-3</v>
      </c>
      <c r="E49" s="44">
        <v>5.1999999999999998E-3</v>
      </c>
      <c r="F49" s="64">
        <v>90.387</v>
      </c>
      <c r="G49" s="75">
        <v>89.917000000000002</v>
      </c>
      <c r="H49" s="48">
        <v>1922</v>
      </c>
      <c r="I49" s="50">
        <v>0.62907407407407401</v>
      </c>
      <c r="L49" s="48"/>
    </row>
    <row r="50" spans="1:12" x14ac:dyDescent="0.15">
      <c r="A50" s="53" t="s">
        <v>56</v>
      </c>
      <c r="B50" s="53" t="s">
        <v>228</v>
      </c>
      <c r="C50" s="42">
        <v>87.748999999999995</v>
      </c>
      <c r="D50" s="72">
        <v>-4.0000000000000001E-3</v>
      </c>
      <c r="E50" s="55">
        <v>1.15E-2</v>
      </c>
      <c r="F50" s="69">
        <v>88.001000000000005</v>
      </c>
      <c r="G50" s="91">
        <v>86.984999999999999</v>
      </c>
      <c r="H50" s="53">
        <v>291</v>
      </c>
      <c r="I50" s="56">
        <v>0.62906249999999997</v>
      </c>
      <c r="L50" s="48"/>
    </row>
    <row r="51" spans="1:12" x14ac:dyDescent="0.15">
      <c r="A51" s="39"/>
      <c r="B51" s="39"/>
      <c r="C51" s="40"/>
      <c r="D51" s="96"/>
      <c r="E51" s="41"/>
      <c r="F51" s="77"/>
      <c r="G51" s="97"/>
      <c r="H51" s="39"/>
      <c r="I51" s="49"/>
      <c r="L51" s="39"/>
    </row>
    <row r="52" spans="1:12" x14ac:dyDescent="0.15">
      <c r="A52" s="1" t="s">
        <v>57</v>
      </c>
      <c r="B52" s="1" t="s">
        <v>181</v>
      </c>
      <c r="C52" s="21">
        <v>0.91100000000000003</v>
      </c>
      <c r="D52" s="58">
        <v>5.4999999999999997E-3</v>
      </c>
      <c r="E52" s="20">
        <v>8.8000000000000005E-3</v>
      </c>
      <c r="F52" s="86">
        <v>0.91400000000000003</v>
      </c>
      <c r="G52" s="87">
        <v>0.90600000000000003</v>
      </c>
      <c r="H52" s="1">
        <v>647</v>
      </c>
      <c r="I52" s="52">
        <v>0.62907407407407401</v>
      </c>
    </row>
    <row r="53" spans="1:12" x14ac:dyDescent="0.15">
      <c r="A53" s="1" t="s">
        <v>58</v>
      </c>
      <c r="B53" s="1" t="s">
        <v>182</v>
      </c>
      <c r="C53" s="21">
        <v>0.91</v>
      </c>
      <c r="D53" s="58">
        <v>5.4999999999999997E-3</v>
      </c>
      <c r="E53" s="20">
        <v>6.6E-3</v>
      </c>
      <c r="F53" s="86">
        <v>0.91100000000000003</v>
      </c>
      <c r="G53" s="87">
        <v>0.90500000000000003</v>
      </c>
      <c r="H53" s="1">
        <v>596</v>
      </c>
      <c r="I53" s="52">
        <v>0.62907407407407401</v>
      </c>
    </row>
    <row r="54" spans="1:12" x14ac:dyDescent="0.15">
      <c r="A54" s="1" t="s">
        <v>59</v>
      </c>
      <c r="B54" s="1" t="s">
        <v>183</v>
      </c>
      <c r="C54" s="21">
        <v>0.875</v>
      </c>
      <c r="D54" s="58">
        <v>6.8999999999999999E-3</v>
      </c>
      <c r="E54" s="20">
        <v>8.0999999999999996E-3</v>
      </c>
      <c r="F54" s="86">
        <v>0.876</v>
      </c>
      <c r="G54" s="87">
        <v>0.86899999999999999</v>
      </c>
      <c r="H54" s="1">
        <v>1570</v>
      </c>
      <c r="I54" s="52">
        <v>0.62907407407407401</v>
      </c>
    </row>
    <row r="55" spans="1:12" x14ac:dyDescent="0.15">
      <c r="A55" s="1" t="s">
        <v>60</v>
      </c>
      <c r="B55" s="1" t="s">
        <v>184</v>
      </c>
      <c r="C55" s="21">
        <v>0.85299999999999998</v>
      </c>
      <c r="D55" s="58">
        <v>1.1999999999999999E-3</v>
      </c>
      <c r="E55" s="20">
        <v>8.2000000000000007E-3</v>
      </c>
      <c r="F55" s="86">
        <v>0.85499999999999998</v>
      </c>
      <c r="G55" s="88">
        <v>0.84799999999999998</v>
      </c>
      <c r="H55" s="1">
        <v>1710</v>
      </c>
      <c r="I55" s="52">
        <v>0.62907407407407401</v>
      </c>
    </row>
    <row r="56" spans="1:12" x14ac:dyDescent="0.15">
      <c r="A56" s="1" t="s">
        <v>61</v>
      </c>
      <c r="B56" s="1" t="s">
        <v>185</v>
      </c>
      <c r="C56" s="21">
        <v>0.77</v>
      </c>
      <c r="D56" s="58">
        <v>5.1999999999999998E-3</v>
      </c>
      <c r="E56" s="20">
        <v>6.4999999999999997E-3</v>
      </c>
      <c r="F56" s="86">
        <v>0.77100000000000002</v>
      </c>
      <c r="G56" s="87">
        <v>0.76600000000000001</v>
      </c>
      <c r="H56" s="1">
        <v>957</v>
      </c>
      <c r="I56" s="52">
        <v>0.62907407407407401</v>
      </c>
    </row>
    <row r="57" spans="1:12" x14ac:dyDescent="0.15">
      <c r="A57" s="1" t="s">
        <v>62</v>
      </c>
      <c r="B57" s="1" t="s">
        <v>186</v>
      </c>
      <c r="C57" s="21">
        <v>0.84699999999999998</v>
      </c>
      <c r="D57" s="57">
        <v>-4.7000000000000002E-3</v>
      </c>
      <c r="E57" s="20">
        <v>1.6500000000000001E-2</v>
      </c>
      <c r="F57" s="86">
        <v>0.85599999999999998</v>
      </c>
      <c r="G57" s="88">
        <v>0.84199999999999997</v>
      </c>
      <c r="H57" s="1">
        <v>1331</v>
      </c>
      <c r="I57" s="52">
        <v>0.62907407407407401</v>
      </c>
    </row>
    <row r="58" spans="1:12" x14ac:dyDescent="0.15">
      <c r="A58" s="1" t="s">
        <v>63</v>
      </c>
      <c r="B58" s="1" t="s">
        <v>187</v>
      </c>
      <c r="C58" s="21">
        <v>0.99099999999999999</v>
      </c>
      <c r="D58" s="57">
        <v>-4.0000000000000001E-3</v>
      </c>
      <c r="E58" s="20">
        <v>1.3100000000000001E-2</v>
      </c>
      <c r="F58" s="86">
        <v>1.002</v>
      </c>
      <c r="G58" s="88">
        <v>0.98899999999999999</v>
      </c>
      <c r="H58" s="1">
        <v>1227</v>
      </c>
      <c r="I58" s="52">
        <v>0.62907407407407401</v>
      </c>
    </row>
    <row r="59" spans="1:12" x14ac:dyDescent="0.15">
      <c r="A59" s="1" t="s">
        <v>64</v>
      </c>
      <c r="B59" s="1" t="s">
        <v>229</v>
      </c>
      <c r="C59" s="21">
        <v>1.0369999999999999</v>
      </c>
      <c r="D59" s="57">
        <v>-1.7999999999999999E-2</v>
      </c>
      <c r="E59" s="20">
        <v>1.23E-2</v>
      </c>
      <c r="F59" s="89">
        <v>1.0489999999999999</v>
      </c>
      <c r="G59" s="88">
        <v>1.036</v>
      </c>
      <c r="H59" s="1">
        <v>4733</v>
      </c>
      <c r="I59" s="52">
        <v>0.62906249999999997</v>
      </c>
    </row>
    <row r="60" spans="1:12" x14ac:dyDescent="0.15">
      <c r="A60" s="1" t="s">
        <v>65</v>
      </c>
      <c r="B60" s="1" t="s">
        <v>188</v>
      </c>
      <c r="C60" s="21">
        <v>0.98899999999999999</v>
      </c>
      <c r="D60" s="57">
        <v>-5.0000000000000001E-3</v>
      </c>
      <c r="E60" s="20">
        <v>6.0000000000000001E-3</v>
      </c>
      <c r="F60" s="89">
        <v>0.99299999999999999</v>
      </c>
      <c r="G60" s="88">
        <v>0.98699999999999999</v>
      </c>
      <c r="H60" s="1">
        <v>4632</v>
      </c>
      <c r="I60" s="52">
        <v>0.62906249999999997</v>
      </c>
    </row>
    <row r="61" spans="1:12" x14ac:dyDescent="0.15">
      <c r="A61" s="1" t="s">
        <v>66</v>
      </c>
      <c r="B61" s="1" t="s">
        <v>189</v>
      </c>
      <c r="C61" s="21">
        <v>0.83899999999999997</v>
      </c>
      <c r="D61" s="57">
        <v>-5.8999999999999999E-3</v>
      </c>
      <c r="E61" s="20">
        <v>8.3000000000000001E-3</v>
      </c>
      <c r="F61" s="86">
        <v>0.84599999999999997</v>
      </c>
      <c r="G61" s="88">
        <v>0.83899999999999997</v>
      </c>
      <c r="H61" s="1">
        <v>2132</v>
      </c>
      <c r="I61" s="52">
        <v>0.62906249999999997</v>
      </c>
    </row>
    <row r="62" spans="1:12" x14ac:dyDescent="0.15">
      <c r="A62" s="1" t="s">
        <v>67</v>
      </c>
      <c r="B62" s="1" t="s">
        <v>230</v>
      </c>
      <c r="C62" s="21">
        <v>0.92</v>
      </c>
      <c r="D62" s="57">
        <v>-1.4999999999999999E-2</v>
      </c>
      <c r="E62" s="20">
        <v>1.4999999999999999E-2</v>
      </c>
      <c r="F62" s="89">
        <v>0.92900000000000005</v>
      </c>
      <c r="G62" s="88">
        <v>0.91500000000000004</v>
      </c>
      <c r="H62" s="1">
        <v>6869</v>
      </c>
      <c r="I62" s="52">
        <v>0.62906249999999997</v>
      </c>
    </row>
    <row r="63" spans="1:12" x14ac:dyDescent="0.15">
      <c r="A63" s="1" t="s">
        <v>68</v>
      </c>
      <c r="B63" s="1" t="s">
        <v>190</v>
      </c>
      <c r="C63" s="21">
        <v>1.234</v>
      </c>
      <c r="D63" s="57">
        <v>-6.4000000000000003E-3</v>
      </c>
      <c r="E63" s="20">
        <v>6.4000000000000003E-3</v>
      </c>
      <c r="F63" s="89">
        <v>1.2350000000000001</v>
      </c>
      <c r="G63" s="88">
        <v>1.2270000000000001</v>
      </c>
      <c r="H63" s="1">
        <v>1450</v>
      </c>
      <c r="I63" s="52">
        <v>0.62722222222222224</v>
      </c>
    </row>
    <row r="64" spans="1:12" x14ac:dyDescent="0.15">
      <c r="A64" s="1" t="s">
        <v>69</v>
      </c>
      <c r="B64" s="1" t="s">
        <v>191</v>
      </c>
      <c r="C64" s="21">
        <v>1.1879999999999999</v>
      </c>
      <c r="D64" s="57">
        <v>-8.0000000000000004E-4</v>
      </c>
      <c r="E64" s="20">
        <v>5.8999999999999999E-3</v>
      </c>
      <c r="F64" s="86">
        <v>1.19</v>
      </c>
      <c r="G64" s="88">
        <v>1.1830000000000001</v>
      </c>
      <c r="H64" s="1">
        <v>198</v>
      </c>
      <c r="I64" s="52">
        <v>0.62722222222222224</v>
      </c>
    </row>
    <row r="65" spans="1:9" x14ac:dyDescent="0.15">
      <c r="A65" s="1" t="s">
        <v>70</v>
      </c>
      <c r="B65" s="1" t="s">
        <v>192</v>
      </c>
      <c r="C65" s="21">
        <v>1.042</v>
      </c>
      <c r="D65" s="57">
        <v>-4.7999999999999996E-3</v>
      </c>
      <c r="E65" s="20">
        <v>9.5999999999999992E-3</v>
      </c>
      <c r="F65" s="89">
        <v>1.0449999999999999</v>
      </c>
      <c r="G65" s="88">
        <v>1.0349999999999999</v>
      </c>
      <c r="H65" s="1">
        <v>1754</v>
      </c>
      <c r="I65" s="52">
        <v>0.62722222222222224</v>
      </c>
    </row>
    <row r="66" spans="1:9" x14ac:dyDescent="0.15">
      <c r="A66" s="1" t="s">
        <v>71</v>
      </c>
      <c r="B66" s="1" t="s">
        <v>193</v>
      </c>
      <c r="C66" s="21">
        <v>1.2929999999999999</v>
      </c>
      <c r="D66" s="57">
        <v>-8.0000000000000004E-4</v>
      </c>
      <c r="E66" s="20">
        <v>6.1999999999999998E-3</v>
      </c>
      <c r="F66" s="90">
        <v>1.294</v>
      </c>
      <c r="G66" s="88">
        <v>1.286</v>
      </c>
      <c r="H66" s="1">
        <v>2296</v>
      </c>
      <c r="I66" s="52">
        <v>0.62722222222222224</v>
      </c>
    </row>
    <row r="67" spans="1:9" x14ac:dyDescent="0.15">
      <c r="A67" s="1" t="s">
        <v>72</v>
      </c>
      <c r="B67" s="1" t="s">
        <v>194</v>
      </c>
      <c r="C67" s="21">
        <v>1.109</v>
      </c>
      <c r="D67" s="57">
        <v>-8.9999999999999998E-4</v>
      </c>
      <c r="E67" s="20">
        <v>1.7100000000000001E-2</v>
      </c>
      <c r="F67" s="86">
        <v>1.1200000000000001</v>
      </c>
      <c r="G67" s="88">
        <v>1.101</v>
      </c>
      <c r="H67" s="1">
        <v>7485</v>
      </c>
      <c r="I67" s="52">
        <v>0.62714120370370374</v>
      </c>
    </row>
    <row r="68" spans="1:9" x14ac:dyDescent="0.15">
      <c r="A68" s="1" t="s">
        <v>73</v>
      </c>
      <c r="B68" s="1" t="s">
        <v>195</v>
      </c>
      <c r="C68" s="21">
        <v>0.91800000000000004</v>
      </c>
      <c r="D68" s="57">
        <v>-8.6E-3</v>
      </c>
      <c r="E68" s="20">
        <v>1.6199999999999999E-2</v>
      </c>
      <c r="F68" s="89">
        <v>0.92500000000000004</v>
      </c>
      <c r="G68" s="88">
        <v>0.91</v>
      </c>
      <c r="H68" s="1">
        <v>1397</v>
      </c>
      <c r="I68" s="52">
        <v>0.62722222222222224</v>
      </c>
    </row>
    <row r="69" spans="1:9" x14ac:dyDescent="0.15">
      <c r="A69" s="1" t="s">
        <v>74</v>
      </c>
      <c r="B69" s="1" t="s">
        <v>196</v>
      </c>
      <c r="C69" s="21">
        <v>1.1930000000000001</v>
      </c>
      <c r="D69" s="58">
        <v>7.2800000000000004E-2</v>
      </c>
      <c r="E69" s="20">
        <v>2.6100000000000002E-2</v>
      </c>
      <c r="F69" s="86">
        <v>1.2050000000000001</v>
      </c>
      <c r="G69" s="92">
        <v>1.1759999999999999</v>
      </c>
      <c r="H69" s="1">
        <v>7661</v>
      </c>
      <c r="I69" s="52">
        <v>0.62714120370370374</v>
      </c>
    </row>
    <row r="70" spans="1:9" x14ac:dyDescent="0.15">
      <c r="A70" s="1" t="s">
        <v>75</v>
      </c>
      <c r="B70" s="1" t="s">
        <v>197</v>
      </c>
      <c r="C70" s="21">
        <v>1.075</v>
      </c>
      <c r="D70" s="58">
        <v>2.4799999999999999E-2</v>
      </c>
      <c r="E70" s="20">
        <v>1.3299999999999999E-2</v>
      </c>
      <c r="F70" s="86">
        <v>1.08</v>
      </c>
      <c r="G70" s="92">
        <v>1.0660000000000001</v>
      </c>
      <c r="H70" s="1">
        <v>10097</v>
      </c>
      <c r="I70" s="52">
        <v>0.62714120370370374</v>
      </c>
    </row>
    <row r="71" spans="1:9" x14ac:dyDescent="0.15">
      <c r="A71" s="53" t="s">
        <v>76</v>
      </c>
      <c r="B71" s="53" t="s">
        <v>198</v>
      </c>
      <c r="C71" s="54">
        <v>0.93700000000000006</v>
      </c>
      <c r="D71" s="67">
        <v>1.7399999999999999E-2</v>
      </c>
      <c r="E71" s="55">
        <v>1.2999999999999999E-2</v>
      </c>
      <c r="F71" s="68">
        <v>0.94099999999999995</v>
      </c>
      <c r="G71" s="85">
        <v>0.92900000000000005</v>
      </c>
      <c r="H71" s="53">
        <v>5335</v>
      </c>
      <c r="I71" s="56">
        <v>0.62714120370370374</v>
      </c>
    </row>
    <row r="72" spans="1:9" x14ac:dyDescent="0.15">
      <c r="A72" s="1" t="s">
        <v>77</v>
      </c>
      <c r="B72" s="1" t="s">
        <v>199</v>
      </c>
      <c r="C72" s="21">
        <v>5.0250000000000004</v>
      </c>
      <c r="D72" s="58">
        <v>1.3929</v>
      </c>
      <c r="E72" s="20">
        <v>1.4286000000000001</v>
      </c>
      <c r="F72" s="86">
        <v>7</v>
      </c>
      <c r="G72" s="92">
        <v>4</v>
      </c>
      <c r="H72" s="1">
        <v>37090490</v>
      </c>
      <c r="I72" s="52">
        <v>0.62714120370370374</v>
      </c>
    </row>
    <row r="73" spans="1:9" x14ac:dyDescent="0.15">
      <c r="A73" s="1" t="s">
        <v>78</v>
      </c>
      <c r="B73" s="1" t="s">
        <v>231</v>
      </c>
      <c r="C73" s="21">
        <v>1.004</v>
      </c>
      <c r="D73" s="58">
        <v>4.0199999999999996</v>
      </c>
      <c r="E73" s="20">
        <v>28.07</v>
      </c>
      <c r="F73" s="86">
        <v>5.7</v>
      </c>
      <c r="G73" s="88">
        <v>8.5999999999999993E-2</v>
      </c>
      <c r="H73" s="1">
        <v>3071977</v>
      </c>
      <c r="I73" s="52">
        <v>0.62906249999999997</v>
      </c>
    </row>
    <row r="74" spans="1:9" x14ac:dyDescent="0.15">
      <c r="A74" s="1" t="s">
        <v>110</v>
      </c>
      <c r="B74" s="1" t="s">
        <v>201</v>
      </c>
      <c r="C74" s="21">
        <v>126.5</v>
      </c>
      <c r="D74" s="57">
        <v>-1.14E-2</v>
      </c>
      <c r="E74" s="20">
        <v>5.3600000000000002E-2</v>
      </c>
      <c r="F74" s="86">
        <v>130.97999999999999</v>
      </c>
      <c r="G74" s="88">
        <v>124.12</v>
      </c>
      <c r="H74" s="1">
        <v>34781</v>
      </c>
      <c r="I74" s="52">
        <v>0.62714120370370374</v>
      </c>
    </row>
    <row r="75" spans="1:9" x14ac:dyDescent="0.15">
      <c r="A75" s="1" t="s">
        <v>111</v>
      </c>
      <c r="B75" s="1" t="s">
        <v>232</v>
      </c>
      <c r="C75" s="21">
        <v>122.02</v>
      </c>
      <c r="D75" s="58">
        <v>1.5100000000000001E-2</v>
      </c>
      <c r="E75" s="20">
        <v>4.1000000000000002E-2</v>
      </c>
      <c r="F75" s="86">
        <v>122.93</v>
      </c>
      <c r="G75" s="88">
        <v>118</v>
      </c>
      <c r="H75" s="1">
        <v>5198</v>
      </c>
      <c r="I75" s="52">
        <v>0.62714120370370374</v>
      </c>
    </row>
    <row r="76" spans="1:9" x14ac:dyDescent="0.15">
      <c r="A76" s="1" t="s">
        <v>112</v>
      </c>
      <c r="B76" s="1" t="s">
        <v>233</v>
      </c>
      <c r="C76" s="21">
        <v>117.251</v>
      </c>
      <c r="D76" s="57">
        <v>-1.5699999999999999E-2</v>
      </c>
      <c r="E76" s="20">
        <v>4.2000000000000003E-2</v>
      </c>
      <c r="F76" s="86">
        <v>121.999</v>
      </c>
      <c r="G76" s="88">
        <v>117</v>
      </c>
      <c r="H76" s="1">
        <v>1360</v>
      </c>
      <c r="I76" s="52">
        <v>0.62906249999999997</v>
      </c>
    </row>
    <row r="77" spans="1:9" x14ac:dyDescent="0.15">
      <c r="A77" s="1" t="s">
        <v>113</v>
      </c>
      <c r="B77" s="1" t="s">
        <v>234</v>
      </c>
      <c r="C77" s="21">
        <v>112.51</v>
      </c>
      <c r="D77" s="57">
        <v>-1.0999999999999999E-2</v>
      </c>
      <c r="E77" s="20">
        <v>2.29E-2</v>
      </c>
      <c r="F77" s="86">
        <v>114.85</v>
      </c>
      <c r="G77" s="88">
        <v>112.24</v>
      </c>
      <c r="H77" s="1">
        <v>125045</v>
      </c>
      <c r="I77" s="52">
        <v>0.62714120370370374</v>
      </c>
    </row>
    <row r="78" spans="1:9" x14ac:dyDescent="0.15">
      <c r="A78" s="1" t="s">
        <v>114</v>
      </c>
      <c r="B78" s="1" t="s">
        <v>202</v>
      </c>
      <c r="C78" s="21">
        <v>105.6</v>
      </c>
      <c r="D78" s="58">
        <v>1.9E-3</v>
      </c>
      <c r="E78" s="20">
        <v>4.1000000000000003E-3</v>
      </c>
      <c r="F78" s="86">
        <v>105.78</v>
      </c>
      <c r="G78" s="88">
        <v>105.35</v>
      </c>
      <c r="H78" s="1">
        <v>1145</v>
      </c>
      <c r="I78" s="52">
        <v>0.62722222222222224</v>
      </c>
    </row>
    <row r="79" spans="1:9" x14ac:dyDescent="0.15">
      <c r="A79" s="1" t="s">
        <v>52</v>
      </c>
      <c r="B79" s="1" t="s">
        <v>242</v>
      </c>
      <c r="C79" s="21">
        <v>125.54</v>
      </c>
      <c r="D79" s="58">
        <v>1.34E-2</v>
      </c>
      <c r="E79" s="20">
        <v>4.4400000000000002E-2</v>
      </c>
      <c r="F79" s="86">
        <v>129.85</v>
      </c>
      <c r="G79" s="92">
        <v>124.35</v>
      </c>
      <c r="H79" s="1">
        <v>408770</v>
      </c>
      <c r="I79" s="52">
        <v>0.62714120370370374</v>
      </c>
    </row>
    <row r="80" spans="1:9" x14ac:dyDescent="0.15">
      <c r="A80" s="1" t="s">
        <v>115</v>
      </c>
      <c r="B80" s="1" t="s">
        <v>235</v>
      </c>
      <c r="C80" s="21">
        <v>124</v>
      </c>
      <c r="D80" s="57">
        <v>-1.3100000000000001E-2</v>
      </c>
      <c r="E80" s="20">
        <v>3.8399999999999997E-2</v>
      </c>
      <c r="F80" s="89">
        <v>125</v>
      </c>
      <c r="G80" s="88">
        <v>120.17</v>
      </c>
      <c r="H80" s="1">
        <v>1658</v>
      </c>
      <c r="I80" s="52">
        <v>0.62714120370370374</v>
      </c>
    </row>
    <row r="81" spans="1:9" x14ac:dyDescent="0.15">
      <c r="A81" s="1" t="s">
        <v>116</v>
      </c>
      <c r="B81" s="1" t="s">
        <v>243</v>
      </c>
      <c r="C81" s="21">
        <v>128.94999999999999</v>
      </c>
      <c r="D81" s="57">
        <v>-2.0000000000000001E-4</v>
      </c>
      <c r="E81" s="20">
        <v>2.4899999999999999E-2</v>
      </c>
      <c r="F81" s="86">
        <v>130.54</v>
      </c>
      <c r="G81" s="88">
        <v>127.33</v>
      </c>
      <c r="H81" s="1">
        <v>403</v>
      </c>
      <c r="I81" s="52">
        <v>0.62714120370370374</v>
      </c>
    </row>
    <row r="82" spans="1:9" x14ac:dyDescent="0.15">
      <c r="A82" s="1" t="s">
        <v>117</v>
      </c>
      <c r="B82" s="1" t="s">
        <v>236</v>
      </c>
      <c r="C82" s="21">
        <v>132.4</v>
      </c>
      <c r="D82" s="58">
        <v>2.3999999999999998E-3</v>
      </c>
      <c r="E82" s="20">
        <v>2.5700000000000001E-2</v>
      </c>
      <c r="F82" s="86">
        <v>135</v>
      </c>
      <c r="G82" s="88">
        <v>131.6</v>
      </c>
      <c r="H82" s="1">
        <v>13409</v>
      </c>
      <c r="I82" s="52">
        <v>0.62714120370370374</v>
      </c>
    </row>
    <row r="83" spans="1:9" x14ac:dyDescent="0.15">
      <c r="A83" s="1" t="s">
        <v>118</v>
      </c>
      <c r="B83" s="1" t="s">
        <v>237</v>
      </c>
      <c r="C83" s="21">
        <v>107.01</v>
      </c>
      <c r="D83" s="57">
        <v>-9.4999999999999998E-3</v>
      </c>
      <c r="E83" s="20">
        <v>2.3E-2</v>
      </c>
      <c r="F83" s="86">
        <v>109.49</v>
      </c>
      <c r="G83" s="88">
        <v>107</v>
      </c>
      <c r="H83" s="1">
        <v>73708</v>
      </c>
      <c r="I83" s="52">
        <v>0.62714120370370374</v>
      </c>
    </row>
    <row r="84" spans="1:9" x14ac:dyDescent="0.15">
      <c r="A84" s="1" t="s">
        <v>119</v>
      </c>
      <c r="B84" s="1" t="s">
        <v>238</v>
      </c>
      <c r="C84" s="21">
        <v>154.001</v>
      </c>
      <c r="D84" s="57" t="s">
        <v>244</v>
      </c>
      <c r="E84" s="20">
        <v>0</v>
      </c>
      <c r="F84" s="89">
        <v>0</v>
      </c>
      <c r="G84" s="88">
        <v>0</v>
      </c>
      <c r="H84" s="1">
        <v>0</v>
      </c>
      <c r="I84" s="52">
        <v>0.62906249999999997</v>
      </c>
    </row>
    <row r="85" spans="1:9" x14ac:dyDescent="0.15">
      <c r="A85" s="1" t="s">
        <v>120</v>
      </c>
      <c r="B85" s="1" t="s">
        <v>203</v>
      </c>
      <c r="C85" s="21">
        <v>106.26</v>
      </c>
      <c r="D85" s="58">
        <v>5.3E-3</v>
      </c>
      <c r="E85" s="20">
        <v>7.4999999999999997E-3</v>
      </c>
      <c r="F85" s="86">
        <v>106.26</v>
      </c>
      <c r="G85" s="88">
        <v>105.471</v>
      </c>
      <c r="H85" s="1">
        <v>144</v>
      </c>
      <c r="I85" s="52">
        <v>0.62907407407407401</v>
      </c>
    </row>
    <row r="86" spans="1:9" x14ac:dyDescent="0.15">
      <c r="A86" s="1" t="s">
        <v>51</v>
      </c>
      <c r="B86" s="1" t="s">
        <v>204</v>
      </c>
      <c r="C86" s="21">
        <v>125.62</v>
      </c>
      <c r="D86" s="57">
        <v>-1.9800000000000002E-2</v>
      </c>
      <c r="E86" s="20">
        <v>3.7699999999999997E-2</v>
      </c>
      <c r="F86" s="86">
        <v>130.12</v>
      </c>
      <c r="G86" s="88">
        <v>125.29</v>
      </c>
      <c r="H86" s="1">
        <v>1211</v>
      </c>
      <c r="I86" s="52">
        <v>0.62714120370370374</v>
      </c>
    </row>
    <row r="87" spans="1:9" x14ac:dyDescent="0.15">
      <c r="A87" s="1" t="s">
        <v>121</v>
      </c>
      <c r="B87" s="1" t="s">
        <v>205</v>
      </c>
      <c r="C87" s="21">
        <v>115</v>
      </c>
      <c r="D87" s="57">
        <v>-2.9999999999999997E-4</v>
      </c>
      <c r="E87" s="20">
        <v>1.4800000000000001E-2</v>
      </c>
      <c r="F87" s="86">
        <v>115.699</v>
      </c>
      <c r="G87" s="88">
        <v>114</v>
      </c>
      <c r="H87" s="1">
        <v>439</v>
      </c>
      <c r="I87" s="52">
        <v>0.62907407407407401</v>
      </c>
    </row>
    <row r="88" spans="1:9" x14ac:dyDescent="0.15">
      <c r="A88" s="1" t="s">
        <v>122</v>
      </c>
      <c r="B88" s="1" t="s">
        <v>239</v>
      </c>
      <c r="C88" s="21">
        <v>115.64</v>
      </c>
      <c r="D88" s="57">
        <v>-3.3999999999999998E-3</v>
      </c>
      <c r="E88" s="20">
        <v>1.4500000000000001E-2</v>
      </c>
      <c r="F88" s="89">
        <v>116</v>
      </c>
      <c r="G88" s="88">
        <v>114.312</v>
      </c>
      <c r="H88" s="1">
        <v>63</v>
      </c>
      <c r="I88" s="52">
        <v>0.62906249999999997</v>
      </c>
    </row>
    <row r="89" spans="1:9" x14ac:dyDescent="0.15">
      <c r="A89" s="1" t="s">
        <v>123</v>
      </c>
      <c r="B89" s="1" t="s">
        <v>240</v>
      </c>
      <c r="C89" s="21">
        <v>123.55</v>
      </c>
      <c r="D89" s="57">
        <v>-1.2500000000000001E-2</v>
      </c>
      <c r="E89" s="20">
        <v>3.5999999999999997E-2</v>
      </c>
      <c r="F89" s="86">
        <v>127.49</v>
      </c>
      <c r="G89" s="88">
        <v>122.98</v>
      </c>
      <c r="H89" s="1">
        <v>62619</v>
      </c>
      <c r="I89" s="52">
        <v>0.62714120370370374</v>
      </c>
    </row>
    <row r="90" spans="1:9" x14ac:dyDescent="0.15">
      <c r="A90" s="1" t="s">
        <v>124</v>
      </c>
      <c r="B90" s="1" t="s">
        <v>241</v>
      </c>
      <c r="C90" s="21">
        <v>148.59800000000001</v>
      </c>
      <c r="D90" s="57">
        <v>-1.41E-2</v>
      </c>
      <c r="E90" s="20">
        <v>2.7799999999999998E-2</v>
      </c>
      <c r="F90" s="86">
        <v>151.99</v>
      </c>
      <c r="G90" s="88">
        <v>147.80000000000001</v>
      </c>
      <c r="H90" s="1">
        <v>116</v>
      </c>
      <c r="I90" s="52">
        <v>0.62906249999999997</v>
      </c>
    </row>
    <row r="91" spans="1:9" x14ac:dyDescent="0.15">
      <c r="A91" s="1" t="s">
        <v>125</v>
      </c>
      <c r="B91" s="1" t="s">
        <v>206</v>
      </c>
      <c r="C91" s="21">
        <v>119.3</v>
      </c>
      <c r="D91" s="58">
        <v>5.1000000000000004E-3</v>
      </c>
      <c r="E91" s="20">
        <v>2.1700000000000001E-2</v>
      </c>
      <c r="F91" s="86">
        <v>119.8</v>
      </c>
      <c r="G91" s="88">
        <v>117.223</v>
      </c>
      <c r="H91" s="1">
        <v>258</v>
      </c>
      <c r="I91" s="52">
        <v>0.62907407407407401</v>
      </c>
    </row>
    <row r="92" spans="1:9" x14ac:dyDescent="0.15">
      <c r="A92" s="1" t="s">
        <v>126</v>
      </c>
      <c r="B92" s="1" t="s">
        <v>207</v>
      </c>
      <c r="C92" s="21">
        <v>129.81</v>
      </c>
      <c r="D92" s="57">
        <v>-6.9999999999999999E-4</v>
      </c>
      <c r="E92" s="20">
        <v>9.1999999999999998E-3</v>
      </c>
      <c r="F92" s="86">
        <v>129.99</v>
      </c>
      <c r="G92" s="88">
        <v>128.80000000000001</v>
      </c>
      <c r="H92" s="1">
        <v>756</v>
      </c>
      <c r="I92" s="52">
        <v>0.62722222222222224</v>
      </c>
    </row>
    <row r="93" spans="1:9" x14ac:dyDescent="0.15">
      <c r="A93" s="1" t="s">
        <v>53</v>
      </c>
      <c r="B93" s="1" t="s">
        <v>245</v>
      </c>
      <c r="C93" s="21">
        <v>132.55000000000001</v>
      </c>
      <c r="D93" s="59">
        <v>0</v>
      </c>
      <c r="E93" s="20">
        <v>0</v>
      </c>
      <c r="F93" s="89">
        <v>0</v>
      </c>
      <c r="G93" s="88">
        <v>0</v>
      </c>
      <c r="H93" s="1">
        <v>0</v>
      </c>
      <c r="I93" s="52">
        <v>0.62714120370370374</v>
      </c>
    </row>
    <row r="94" spans="1:9" x14ac:dyDescent="0.15">
      <c r="A94" s="1" t="s">
        <v>127</v>
      </c>
      <c r="B94" s="1" t="s">
        <v>208</v>
      </c>
      <c r="C94" s="21">
        <v>132.01</v>
      </c>
      <c r="D94" s="58">
        <v>1E-4</v>
      </c>
      <c r="E94" s="20">
        <v>2.6499999999999999E-2</v>
      </c>
      <c r="F94" s="86">
        <v>135.5</v>
      </c>
      <c r="G94" s="87">
        <v>132</v>
      </c>
      <c r="H94" s="1">
        <v>2072</v>
      </c>
      <c r="I94" s="52">
        <v>0.62714120370370374</v>
      </c>
    </row>
    <row r="95" spans="1:9" x14ac:dyDescent="0.15">
      <c r="C95" s="1"/>
      <c r="E95" s="21"/>
      <c r="F95" s="1"/>
      <c r="G95" s="1"/>
      <c r="H95" s="22"/>
      <c r="I95" s="23"/>
    </row>
  </sheetData>
  <phoneticPr fontId="10" type="noConversion"/>
  <pageMargins left="0.69930555555555596" right="0.69930555555555596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获取股票指数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12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62"/>
  </sheetPr>
  <dimension ref="A1:I32"/>
  <sheetViews>
    <sheetView topLeftCell="A4" workbookViewId="0">
      <selection activeCell="I10" sqref="I10"/>
    </sheetView>
  </sheetViews>
  <sheetFormatPr defaultColWidth="9" defaultRowHeight="14.25" x14ac:dyDescent="0.15"/>
  <cols>
    <col min="1" max="1" width="9" style="1"/>
    <col min="2" max="2" width="21.625" style="1" customWidth="1"/>
    <col min="3" max="6" width="9" style="1"/>
    <col min="7" max="7" width="8.875" style="1" customWidth="1"/>
    <col min="8" max="8" width="9" style="1"/>
    <col min="9" max="9" width="11.125" style="1"/>
    <col min="10" max="16384" width="9" style="1"/>
  </cols>
  <sheetData>
    <row r="1" spans="1:9" x14ac:dyDescent="0.15">
      <c r="A1" s="15" t="s">
        <v>0</v>
      </c>
      <c r="B1" s="16" t="s">
        <v>1</v>
      </c>
      <c r="C1" s="17" t="s">
        <v>79</v>
      </c>
      <c r="D1" s="16" t="s">
        <v>80</v>
      </c>
      <c r="E1" s="17" t="s">
        <v>81</v>
      </c>
      <c r="F1" s="16" t="s">
        <v>3</v>
      </c>
      <c r="G1" s="16" t="s">
        <v>82</v>
      </c>
    </row>
    <row r="2" spans="1:9" x14ac:dyDescent="0.15">
      <c r="A2" s="18" t="s">
        <v>21</v>
      </c>
      <c r="B2" s="1" t="s">
        <v>212</v>
      </c>
      <c r="C2" s="1">
        <v>1.917</v>
      </c>
      <c r="D2" s="1">
        <v>2.6139999999999999</v>
      </c>
      <c r="E2" s="1">
        <v>1.91</v>
      </c>
      <c r="F2" s="58">
        <v>3.7000000000000002E-3</v>
      </c>
      <c r="G2" s="19">
        <v>41974</v>
      </c>
    </row>
    <row r="3" spans="1:9" x14ac:dyDescent="0.15">
      <c r="A3" s="18" t="s">
        <v>83</v>
      </c>
      <c r="B3" s="1" t="s">
        <v>213</v>
      </c>
      <c r="C3" s="1">
        <v>104.86199999999999</v>
      </c>
      <c r="D3" s="1">
        <v>1.0509999999999999</v>
      </c>
      <c r="E3" s="1">
        <v>104.839</v>
      </c>
      <c r="F3" s="58">
        <v>2.0000000000000001E-4</v>
      </c>
      <c r="G3" s="19">
        <v>41974</v>
      </c>
    </row>
    <row r="4" spans="1:9" x14ac:dyDescent="0.15">
      <c r="A4" s="1" t="s">
        <v>84</v>
      </c>
      <c r="B4" s="1" t="s">
        <v>214</v>
      </c>
      <c r="C4" s="1">
        <v>106.768</v>
      </c>
      <c r="D4" s="1">
        <v>1.0677000000000001</v>
      </c>
      <c r="E4" s="1">
        <v>106.926</v>
      </c>
      <c r="F4" s="57">
        <v>-1.5E-3</v>
      </c>
      <c r="G4" s="19">
        <v>41974</v>
      </c>
    </row>
    <row r="5" spans="1:9" x14ac:dyDescent="0.15">
      <c r="A5" s="18" t="s">
        <v>85</v>
      </c>
      <c r="B5" s="1" t="s">
        <v>215</v>
      </c>
      <c r="C5" s="1">
        <v>2.2696999999999998</v>
      </c>
      <c r="D5" s="1">
        <v>0.85860000000000003</v>
      </c>
      <c r="E5" s="1">
        <v>2.3355000000000001</v>
      </c>
      <c r="F5" s="57">
        <v>-2.8199999999999999E-2</v>
      </c>
      <c r="G5" s="19">
        <v>41974</v>
      </c>
    </row>
    <row r="6" spans="1:9" x14ac:dyDescent="0.15">
      <c r="A6" s="18" t="s">
        <v>16</v>
      </c>
      <c r="B6" s="1" t="s">
        <v>129</v>
      </c>
      <c r="C6" s="1">
        <v>2.2970000000000002</v>
      </c>
      <c r="D6" s="1">
        <v>0.86699999999999999</v>
      </c>
      <c r="E6" s="1">
        <v>2.363</v>
      </c>
      <c r="F6" s="57">
        <v>-2.7900000000000001E-2</v>
      </c>
      <c r="G6" s="19">
        <v>41974</v>
      </c>
    </row>
    <row r="7" spans="1:9" x14ac:dyDescent="0.15">
      <c r="A7" s="18" t="s">
        <v>17</v>
      </c>
      <c r="B7" s="1" t="s">
        <v>130</v>
      </c>
      <c r="C7" s="1">
        <v>1.1665000000000001</v>
      </c>
      <c r="D7" s="1">
        <v>1.1665000000000001</v>
      </c>
      <c r="E7" s="1">
        <v>1.1577999999999999</v>
      </c>
      <c r="F7" s="58">
        <v>7.4999999999999997E-3</v>
      </c>
      <c r="G7" s="19">
        <v>41974</v>
      </c>
      <c r="I7" s="20"/>
    </row>
    <row r="8" spans="1:9" x14ac:dyDescent="0.15">
      <c r="A8" s="60" t="s">
        <v>18</v>
      </c>
      <c r="B8" s="1" t="s">
        <v>131</v>
      </c>
      <c r="C8" s="1">
        <v>0.85329999999999995</v>
      </c>
      <c r="D8" s="1">
        <v>0.85329999999999995</v>
      </c>
      <c r="E8" s="1">
        <v>0.83919999999999995</v>
      </c>
      <c r="F8" s="58">
        <v>1.6799999999999999E-2</v>
      </c>
      <c r="G8" s="19">
        <v>41974</v>
      </c>
      <c r="I8" s="20"/>
    </row>
    <row r="9" spans="1:9" x14ac:dyDescent="0.15">
      <c r="A9" s="60" t="s">
        <v>19</v>
      </c>
      <c r="B9" s="1" t="s">
        <v>132</v>
      </c>
      <c r="C9" s="1">
        <v>1.6859999999999999</v>
      </c>
      <c r="D9" s="1">
        <v>0.52300000000000002</v>
      </c>
      <c r="E9" s="1">
        <v>1.669</v>
      </c>
      <c r="F9" s="58">
        <v>1.0200000000000001E-2</v>
      </c>
      <c r="G9" s="19">
        <v>41974</v>
      </c>
    </row>
    <row r="10" spans="1:9" x14ac:dyDescent="0.15">
      <c r="A10" s="60" t="s">
        <v>22</v>
      </c>
      <c r="B10" s="1" t="s">
        <v>133</v>
      </c>
      <c r="C10" s="1">
        <v>1.1556</v>
      </c>
      <c r="D10" s="1">
        <v>1.1556</v>
      </c>
      <c r="E10" s="1">
        <v>1.1341000000000001</v>
      </c>
      <c r="F10" s="58">
        <v>1.9E-2</v>
      </c>
      <c r="G10" s="19">
        <v>41974</v>
      </c>
    </row>
    <row r="11" spans="1:9" x14ac:dyDescent="0.15">
      <c r="A11" s="60" t="s">
        <v>107</v>
      </c>
      <c r="B11" s="1" t="s">
        <v>134</v>
      </c>
      <c r="C11" s="1">
        <v>1.0291999999999999</v>
      </c>
      <c r="D11" s="1">
        <v>1.0291999999999999</v>
      </c>
      <c r="E11" s="1">
        <v>1.0238</v>
      </c>
      <c r="F11" s="58">
        <v>5.3E-3</v>
      </c>
      <c r="G11" s="19">
        <v>41974</v>
      </c>
    </row>
    <row r="12" spans="1:9" x14ac:dyDescent="0.15">
      <c r="A12" s="60" t="s">
        <v>20</v>
      </c>
      <c r="B12" s="1" t="s">
        <v>216</v>
      </c>
      <c r="C12" s="1">
        <v>4.2229999999999999</v>
      </c>
      <c r="D12" s="1">
        <v>1.1994</v>
      </c>
      <c r="E12" s="1">
        <v>4.2117000000000004</v>
      </c>
      <c r="F12" s="58">
        <v>2.7000000000000001E-3</v>
      </c>
      <c r="G12" s="19">
        <v>41974</v>
      </c>
    </row>
    <row r="13" spans="1:9" x14ac:dyDescent="0.15">
      <c r="A13" s="60"/>
      <c r="F13" s="57"/>
      <c r="G13" s="19"/>
    </row>
    <row r="14" spans="1:9" x14ac:dyDescent="0.15">
      <c r="A14" s="60"/>
      <c r="F14" s="57"/>
      <c r="G14" s="19"/>
    </row>
    <row r="15" spans="1:9" x14ac:dyDescent="0.15">
      <c r="A15" s="60" t="s">
        <v>36</v>
      </c>
      <c r="B15" s="1" t="s">
        <v>136</v>
      </c>
      <c r="C15" s="1">
        <v>1.4260999999999999</v>
      </c>
      <c r="D15" s="1">
        <v>1.4260999999999999</v>
      </c>
      <c r="E15" s="1">
        <v>1.4557</v>
      </c>
      <c r="F15" s="57">
        <v>-2.0299999999999999E-2</v>
      </c>
      <c r="G15" s="19">
        <v>41974</v>
      </c>
    </row>
    <row r="16" spans="1:9" x14ac:dyDescent="0.15">
      <c r="A16" s="60" t="s">
        <v>29</v>
      </c>
      <c r="B16" s="1" t="s">
        <v>217</v>
      </c>
      <c r="C16" s="1">
        <v>0.56499999999999995</v>
      </c>
      <c r="D16" s="1">
        <v>0.56499999999999995</v>
      </c>
      <c r="E16" s="1">
        <v>0.56000000000000005</v>
      </c>
      <c r="F16" s="58">
        <v>8.8999999999999999E-3</v>
      </c>
      <c r="G16" s="19">
        <v>41974</v>
      </c>
    </row>
    <row r="17" spans="1:7" x14ac:dyDescent="0.15">
      <c r="A17" s="60" t="s">
        <v>108</v>
      </c>
      <c r="B17" s="1" t="s">
        <v>218</v>
      </c>
      <c r="C17" s="1">
        <v>1.4830000000000001</v>
      </c>
      <c r="D17" s="1">
        <v>1.4830000000000001</v>
      </c>
      <c r="E17" s="1">
        <v>1.5229999999999999</v>
      </c>
      <c r="F17" s="57">
        <v>-2.63E-2</v>
      </c>
      <c r="G17" s="19">
        <v>41974</v>
      </c>
    </row>
    <row r="18" spans="1:7" x14ac:dyDescent="0.15">
      <c r="A18" s="60" t="s">
        <v>109</v>
      </c>
      <c r="B18" s="1" t="s">
        <v>137</v>
      </c>
      <c r="C18" s="1">
        <v>0.61329999999999996</v>
      </c>
      <c r="D18" s="1">
        <v>0.6835</v>
      </c>
      <c r="E18" s="1">
        <v>0.60770000000000002</v>
      </c>
      <c r="F18" s="58">
        <v>9.1999999999999998E-3</v>
      </c>
      <c r="G18" s="19">
        <v>41974</v>
      </c>
    </row>
    <row r="19" spans="1:7" x14ac:dyDescent="0.15">
      <c r="A19" s="60" t="s">
        <v>46</v>
      </c>
      <c r="B19" s="1" t="s">
        <v>138</v>
      </c>
      <c r="C19" s="1">
        <v>1.1079000000000001</v>
      </c>
      <c r="D19" s="1">
        <v>1.2483</v>
      </c>
      <c r="E19" s="1">
        <v>1.1074999999999999</v>
      </c>
      <c r="F19" s="58">
        <v>4.0000000000000002E-4</v>
      </c>
      <c r="G19" s="19">
        <v>41974</v>
      </c>
    </row>
    <row r="20" spans="1:7" x14ac:dyDescent="0.15">
      <c r="A20" s="1" t="s">
        <v>35</v>
      </c>
      <c r="B20" s="1" t="s">
        <v>139</v>
      </c>
      <c r="C20" s="1">
        <v>0.1187</v>
      </c>
      <c r="D20" s="1">
        <v>0.1187</v>
      </c>
      <c r="E20" s="1">
        <v>0.1079</v>
      </c>
      <c r="F20" s="58">
        <v>0.10009999999999999</v>
      </c>
      <c r="G20" s="19">
        <v>41974</v>
      </c>
    </row>
    <row r="21" spans="1:7" x14ac:dyDescent="0.15">
      <c r="A21" s="1" t="s">
        <v>86</v>
      </c>
      <c r="B21" s="1" t="s">
        <v>140</v>
      </c>
      <c r="C21" s="1">
        <v>1.032</v>
      </c>
      <c r="D21" s="1">
        <v>1.0960000000000001</v>
      </c>
      <c r="E21" s="1">
        <v>1.0269999999999999</v>
      </c>
      <c r="F21" s="58">
        <v>4.8999999999999998E-3</v>
      </c>
      <c r="G21" s="19">
        <v>41974</v>
      </c>
    </row>
    <row r="22" spans="1:7" x14ac:dyDescent="0.15">
      <c r="A22" s="1" t="s">
        <v>87</v>
      </c>
      <c r="B22" s="1" t="s">
        <v>141</v>
      </c>
      <c r="C22" s="1">
        <v>1.018</v>
      </c>
      <c r="D22" s="1">
        <v>1.1459999999999999</v>
      </c>
      <c r="E22" s="1">
        <v>1.018</v>
      </c>
      <c r="F22" s="59">
        <v>0</v>
      </c>
      <c r="G22" s="19">
        <v>41974</v>
      </c>
    </row>
    <row r="23" spans="1:7" x14ac:dyDescent="0.15">
      <c r="A23" s="1" t="s">
        <v>88</v>
      </c>
      <c r="B23" s="1" t="s">
        <v>219</v>
      </c>
      <c r="C23" s="1">
        <v>1.046</v>
      </c>
      <c r="D23" s="1">
        <v>1.046</v>
      </c>
      <c r="E23" s="1">
        <v>1.0369999999999999</v>
      </c>
      <c r="F23" s="58">
        <v>8.6999999999999994E-3</v>
      </c>
      <c r="G23" s="19">
        <v>41974</v>
      </c>
    </row>
    <row r="24" spans="1:7" x14ac:dyDescent="0.15">
      <c r="A24" s="1" t="s">
        <v>89</v>
      </c>
      <c r="B24" s="1" t="s">
        <v>220</v>
      </c>
      <c r="C24" s="1">
        <v>1.3852</v>
      </c>
      <c r="D24" s="1">
        <v>3.7252000000000001</v>
      </c>
      <c r="E24" s="1">
        <v>1.3953</v>
      </c>
      <c r="F24" s="57">
        <v>-7.1999999999999998E-3</v>
      </c>
      <c r="G24" s="19">
        <v>41974</v>
      </c>
    </row>
    <row r="25" spans="1:7" x14ac:dyDescent="0.15">
      <c r="A25" s="1" t="s">
        <v>90</v>
      </c>
      <c r="B25" s="1" t="s">
        <v>142</v>
      </c>
      <c r="C25" s="1">
        <v>0.60799999999999998</v>
      </c>
      <c r="D25" s="1">
        <v>2.9990000000000001</v>
      </c>
      <c r="E25" s="1">
        <v>0.60599999999999998</v>
      </c>
      <c r="F25" s="58">
        <v>3.3E-3</v>
      </c>
      <c r="G25" s="19">
        <v>41974</v>
      </c>
    </row>
    <row r="26" spans="1:7" x14ac:dyDescent="0.15">
      <c r="A26" s="1" t="s">
        <v>91</v>
      </c>
      <c r="B26" s="1" t="s">
        <v>221</v>
      </c>
      <c r="C26" s="1">
        <v>1.0900000000000001</v>
      </c>
      <c r="D26" s="1">
        <v>1.1200000000000001</v>
      </c>
      <c r="E26" s="1">
        <v>1.0900000000000001</v>
      </c>
      <c r="F26" s="59">
        <v>0</v>
      </c>
      <c r="G26" s="19">
        <v>41974</v>
      </c>
    </row>
    <row r="27" spans="1:7" x14ac:dyDescent="0.15">
      <c r="A27" s="1" t="s">
        <v>92</v>
      </c>
      <c r="B27" s="1" t="s">
        <v>143</v>
      </c>
      <c r="C27" s="1">
        <v>1.9882</v>
      </c>
      <c r="D27" s="1">
        <v>3.2982</v>
      </c>
      <c r="E27" s="1">
        <v>2.0137999999999998</v>
      </c>
      <c r="F27" s="57">
        <v>-1.2699999999999999E-2</v>
      </c>
      <c r="G27" s="19">
        <v>41974</v>
      </c>
    </row>
    <row r="28" spans="1:7" x14ac:dyDescent="0.15">
      <c r="A28" s="1" t="s">
        <v>93</v>
      </c>
      <c r="B28" s="1" t="s">
        <v>144</v>
      </c>
      <c r="C28" s="1">
        <v>1.139</v>
      </c>
      <c r="D28" s="1">
        <v>1.155</v>
      </c>
      <c r="E28" s="1">
        <v>1.1379999999999999</v>
      </c>
      <c r="F28" s="58">
        <v>8.9999999999999998E-4</v>
      </c>
      <c r="G28" s="19">
        <v>41974</v>
      </c>
    </row>
    <row r="29" spans="1:7" x14ac:dyDescent="0.15">
      <c r="A29" s="1" t="s">
        <v>94</v>
      </c>
      <c r="B29" s="1" t="s">
        <v>145</v>
      </c>
      <c r="C29" s="1">
        <v>1.18</v>
      </c>
      <c r="D29" s="1">
        <v>1.18</v>
      </c>
      <c r="E29" s="1">
        <v>1.1819999999999999</v>
      </c>
      <c r="F29" s="57">
        <v>-1.6999999999999999E-3</v>
      </c>
      <c r="G29" s="19">
        <v>41974</v>
      </c>
    </row>
    <row r="32" spans="1:7" x14ac:dyDescent="0.15">
      <c r="B32" s="14" t="s">
        <v>95</v>
      </c>
    </row>
  </sheetData>
  <phoneticPr fontId="10" type="noConversion"/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更新开放式基金净值">
                <anchor moveWithCells="1" sizeWithCells="1">
                  <from>
                    <xdr:col>7</xdr:col>
                    <xdr:colOff>285750</xdr:colOff>
                    <xdr:row>3</xdr:row>
                    <xdr:rowOff>123825</xdr:rowOff>
                  </from>
                  <to>
                    <xdr:col>8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53"/>
  </sheetPr>
  <dimension ref="A1:B12"/>
  <sheetViews>
    <sheetView workbookViewId="0">
      <selection sqref="A1:B12"/>
    </sheetView>
  </sheetViews>
  <sheetFormatPr defaultColWidth="9" defaultRowHeight="14.25" x14ac:dyDescent="0.15"/>
  <cols>
    <col min="1" max="1" width="8.5" style="1" customWidth="1"/>
    <col min="2" max="2" width="7.625" style="1" customWidth="1"/>
    <col min="3" max="4" width="4.5" style="1" customWidth="1"/>
    <col min="5" max="5" width="3.75" style="1" customWidth="1"/>
    <col min="6" max="7" width="7.5" style="1" customWidth="1"/>
    <col min="8" max="8" width="6" style="1" customWidth="1"/>
    <col min="9" max="9" width="9.125" style="1" customWidth="1"/>
    <col min="10" max="10" width="7.375" style="1" customWidth="1"/>
    <col min="11" max="11" width="3.25" style="1" customWidth="1"/>
    <col min="12" max="12" width="8.875" style="1" customWidth="1"/>
    <col min="13" max="14" width="8.5" style="1" customWidth="1"/>
    <col min="15" max="15" width="9.125" style="1" customWidth="1"/>
    <col min="16" max="16" width="8.875" style="1" customWidth="1"/>
    <col min="17" max="17" width="8.5" style="1" customWidth="1"/>
    <col min="18" max="16384" width="9" style="1"/>
  </cols>
  <sheetData>
    <row r="1" spans="1:2" x14ac:dyDescent="0.15">
      <c r="A1" s="2" t="s">
        <v>1</v>
      </c>
      <c r="B1" s="3" t="s">
        <v>96</v>
      </c>
    </row>
    <row r="2" spans="1:2" x14ac:dyDescent="0.15">
      <c r="A2" s="4" t="s">
        <v>97</v>
      </c>
      <c r="B2" s="5">
        <v>3.222</v>
      </c>
    </row>
    <row r="3" spans="1:2" x14ac:dyDescent="0.15">
      <c r="A3" s="6" t="s">
        <v>98</v>
      </c>
      <c r="B3" s="7">
        <v>238.11</v>
      </c>
    </row>
    <row r="4" spans="1:2" x14ac:dyDescent="0.15">
      <c r="A4" s="6" t="s">
        <v>99</v>
      </c>
      <c r="B4" s="7">
        <v>16.2925</v>
      </c>
    </row>
    <row r="5" spans="1:2" x14ac:dyDescent="0.15">
      <c r="A5" s="6" t="s">
        <v>100</v>
      </c>
      <c r="B5" s="7">
        <v>1203.95</v>
      </c>
    </row>
    <row r="6" spans="1:2" x14ac:dyDescent="0.15">
      <c r="A6" s="6" t="s">
        <v>101</v>
      </c>
      <c r="B6" s="7">
        <v>3513</v>
      </c>
    </row>
    <row r="7" spans="1:2" x14ac:dyDescent="0.15">
      <c r="A7" s="6" t="s">
        <v>102</v>
      </c>
      <c r="B7" s="8">
        <v>240.65</v>
      </c>
    </row>
    <row r="8" spans="1:2" x14ac:dyDescent="0.15">
      <c r="A8" s="9" t="s">
        <v>103</v>
      </c>
      <c r="B8" s="10">
        <v>240.05</v>
      </c>
    </row>
    <row r="9" spans="1:2" x14ac:dyDescent="0.15">
      <c r="A9" s="11" t="s">
        <v>104</v>
      </c>
      <c r="B9" s="12">
        <f>B5/B4</f>
        <v>73.895964400797908</v>
      </c>
    </row>
    <row r="10" spans="1:2" x14ac:dyDescent="0.15">
      <c r="A10" s="13" t="s">
        <v>105</v>
      </c>
      <c r="B10" s="10">
        <f>B6-B2*1000</f>
        <v>291</v>
      </c>
    </row>
    <row r="12" spans="1:2" x14ac:dyDescent="0.15">
      <c r="A12" s="14" t="s">
        <v>106</v>
      </c>
    </row>
  </sheetData>
  <phoneticPr fontId="10" type="noConversion"/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获取工行贵金属">
                <anchor moveWithCells="1" sizeWithCells="1">
                  <from>
                    <xdr:col>2</xdr:col>
                    <xdr:colOff>314325</xdr:colOff>
                    <xdr:row>3</xdr:row>
                    <xdr:rowOff>133350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简单行情（包括实时港股）</vt:lpstr>
      <vt:lpstr>股票指数</vt:lpstr>
      <vt:lpstr>开放式基金</vt:lpstr>
      <vt:lpstr>贵金属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CJHD20</dc:creator>
  <cp:lastModifiedBy>CJH</cp:lastModifiedBy>
  <dcterms:created xsi:type="dcterms:W3CDTF">2013-09-18T14:02:55Z</dcterms:created>
  <dcterms:modified xsi:type="dcterms:W3CDTF">2014-12-02T01:42:27Z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